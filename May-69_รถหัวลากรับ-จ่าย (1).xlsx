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.ร้านโชห่วย✅ (2)" sheetId="1" r:id="rId5"/>
    <sheet state="visible" name="template" sheetId="2" r:id="rId6"/>
    <sheet state="visible" name="39 506 Bonbon" sheetId="3" r:id="rId7"/>
    <sheet state="visible" name="47 507 จันทร์" sheetId="4" r:id="rId8"/>
    <sheet state="visible" name="48 508 นิค" sheetId="5" r:id="rId9"/>
    <sheet state="visible" name="501 เต่า" sheetId="6" r:id="rId10"/>
    <sheet state="visible" name="502 ป๋า" sheetId="7" r:id="rId11"/>
    <sheet state="visible" name="503 ฟัก" sheetId="8" r:id="rId12"/>
    <sheet state="visible" name="504 ประจบ" sheetId="9" r:id="rId13"/>
    <sheet state="visible" name="505 เสริม เอ็ม บุญมี" sheetId="10" r:id="rId14"/>
    <sheet state="visible" name="รายจ่ายอื่นๆ" sheetId="11" r:id="rId15"/>
    <sheet state="visible" name="รายรับ-จ่าย จริง" sheetId="12" r:id="rId16"/>
    <sheet state="visible" name="ทะเบียน ประกัน" sheetId="13" r:id="rId17"/>
  </sheets>
  <definedNames/>
  <calcPr/>
</workbook>
</file>

<file path=xl/sharedStrings.xml><?xml version="1.0" encoding="utf-8"?>
<sst xmlns="http://schemas.openxmlformats.org/spreadsheetml/2006/main" count="1083" uniqueCount="317">
  <si>
    <t xml:space="preserve">รายงานจดรับ-จ่าย   :  </t>
  </si>
  <si>
    <t>รายงานจดรับ-จ่าย   :   มกราคม 2568</t>
  </si>
  <si>
    <t xml:space="preserve">รายงานจดรับ-จ่าย   :   </t>
  </si>
  <si>
    <t>พฤษภาคม2569</t>
  </si>
  <si>
    <t>เงินเดือน</t>
  </si>
  <si>
    <r>
      <rPr>
        <rFont val="Sarabun"/>
        <b/>
        <color theme="1"/>
        <sz val="10.0"/>
      </rPr>
      <t xml:space="preserve">ชื่อสถานประกอบการ (ชื่อร้าน)   </t>
    </r>
    <r>
      <rPr>
        <rFont val="Sarabun"/>
        <color theme="1"/>
        <sz val="10.0"/>
      </rPr>
      <t>:   ร้านขายดี</t>
    </r>
  </si>
  <si>
    <r>
      <rPr>
        <rFont val="Sarabun"/>
        <b/>
        <color theme="1"/>
        <sz val="10.0"/>
      </rPr>
      <t>สถานะ</t>
    </r>
    <r>
      <rPr>
        <rFont val="Sarabun"/>
        <color theme="1"/>
        <sz val="10.0"/>
      </rPr>
      <t xml:space="preserve">   :   จด VAT</t>
    </r>
  </si>
  <si>
    <t>ตู้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</si>
  <si>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</si>
  <si>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ค่าดูแลรถ</t>
  </si>
  <si>
    <t>0931069789</t>
  </si>
  <si>
    <t>ประกันสังคม</t>
  </si>
  <si>
    <r>
      <rPr>
        <rFont val="Sarabun"/>
        <b/>
        <color theme="1"/>
        <sz val="10.0"/>
      </rPr>
      <t>เลขผู้เสียภาษีอากร</t>
    </r>
    <r>
      <rPr>
        <rFont val="Sarabun"/>
        <color theme="1"/>
        <sz val="10.0"/>
      </rPr>
      <t xml:space="preserve">   :   3 9355 66000 69 1</t>
    </r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</si>
  <si>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</si>
  <si>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</si>
  <si>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</si>
  <si>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บุญโลม ผุยเพ็ง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</si>
  <si>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</si>
  <si>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ทองจันทร์ อ่อนคำ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</si>
  <si>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</si>
  <si>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</si>
  <si>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Reset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</si>
  <si>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</si>
  <si>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t>ว/ด/ป</t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</si>
  <si>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</si>
  <si>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รายการ</t>
  </si>
  <si>
    <t>รายรับ</t>
  </si>
  <si>
    <t>จน เที่ยวน้ำมัน</t>
  </si>
  <si>
    <t>รายจ่าย</t>
  </si>
  <si>
    <t>VAT ซื้อ</t>
  </si>
  <si>
    <t>เอกสาร</t>
  </si>
  <si>
    <t>หน้าร้าน</t>
  </si>
  <si>
    <t>VAT ขาย</t>
  </si>
  <si>
    <t>ซื้อของ</t>
  </si>
  <si>
    <t>ค่าแรง</t>
  </si>
  <si>
    <t>เงินเดือน+ดูแลรถ</t>
  </si>
  <si>
    <t>ซื้อจากห้าง</t>
  </si>
  <si>
    <t>ซื้อจากตลาด/ร้านค้าส่ง</t>
  </si>
  <si>
    <t>บิลค่าใช้จ่าย</t>
  </si>
  <si>
    <t>สาธารณูปโภค</t>
  </si>
  <si>
    <t>อื่นๆ</t>
  </si>
  <si>
    <t>เติมน้ำมัน ผ่านท่า</t>
  </si>
  <si>
    <t>ซ่อมแอร์สายกลางรั่ว ไฟคอยล์</t>
  </si>
  <si>
    <t>ซื้อของ จาก Makro</t>
  </si>
  <si>
    <t>ไม่เต็มถัง</t>
  </si>
  <si>
    <t>ผ่านท่า</t>
  </si>
  <si>
    <t>เต็ม</t>
  </si>
  <si>
    <t>ติดฟิล์ม hi kool 60 รอบคัน  ผ่านท่า</t>
  </si>
  <si>
    <t>13/5/2569</t>
  </si>
  <si>
    <t>ปะยาง</t>
  </si>
  <si>
    <t>บิลสมบูรณ์</t>
  </si>
  <si>
    <t>ที่ปัดน้ำฝน</t>
  </si>
  <si>
    <t>ซ่อมกลอนประตู กระจก</t>
  </si>
  <si>
    <t>ซื้อของ จาก ร้านน้องดาว ขายส่ง</t>
  </si>
  <si>
    <t>18/5/2569</t>
  </si>
  <si>
    <t>ใบสำคัญรับเงิน</t>
  </si>
  <si>
    <t>ซื้อของ จาก ตลาดสดในเมือง</t>
  </si>
  <si>
    <t>23/5/2569</t>
  </si>
  <si>
    <t>บิลเงินสด+ใบรับรองแทนใบเสร็จรับเงิน</t>
  </si>
  <si>
    <t>มาสมุทรปราการด้วย</t>
  </si>
  <si>
    <t>30/5/2569</t>
  </si>
  <si>
    <t>ซื้อถุงพลาสติกใส ถุงก็อปแก็ป</t>
  </si>
  <si>
    <t>ไฟท่อกลม LED ผ่านท่า</t>
  </si>
  <si>
    <t>ครัชคอมแอร์</t>
  </si>
  <si>
    <t>จ่ายเงินเดือน ประจำเดือน ธ.ค.66</t>
  </si>
  <si>
    <t>ใบทะเบียนเงินเดือน</t>
  </si>
  <si>
    <t>สรุปรายได้ประจำวันจากการขายหน้าร้าน</t>
  </si>
  <si>
    <t>ติดฟิล์ม hi kool 80 รอบคัน บานหน้า 60</t>
  </si>
  <si>
    <t>รายงานยอดขายประจำวัน</t>
  </si>
  <si>
    <t>ซื้อของ จาก Lotus's</t>
  </si>
  <si>
    <t>มอไซด์</t>
  </si>
  <si>
    <t>ซื้อน้ำแข็ง</t>
  </si>
  <si>
    <t>15/5/2569</t>
  </si>
  <si>
    <t>พักลมระผึ้ง</t>
  </si>
  <si>
    <t>เปลี่ยนสายน้ำมัน ผ่านท่า</t>
  </si>
  <si>
    <t>ซื้อของ จาก Big C</t>
  </si>
  <si>
    <t>มินิวาล์ว ลูกยางมือเสือ นมบ</t>
  </si>
  <si>
    <t>เบิกค่าเที่ยว</t>
  </si>
  <si>
    <t>26/5/2568</t>
  </si>
  <si>
    <t>ซ่อมพัดลม อัดจารบี ตั้งเบรค ผ่านท่า</t>
  </si>
  <si>
    <t>29/5/2569</t>
  </si>
  <si>
    <t>เรียกรถไปส่งของให้ลูกค้า</t>
  </si>
  <si>
    <t>ใบรับรองแทนใบเสร็จรับเงิน</t>
  </si>
  <si>
    <t xml:space="preserve">จ่ายเงินเดือน ดูแลรถ </t>
  </si>
  <si>
    <t xml:space="preserve">เงินพิเศษ อื่นๆ  </t>
  </si>
  <si>
    <t>เงินพิเศษ</t>
  </si>
  <si>
    <t>จ่ายค่าไฟ เดือน ธ.ค.66</t>
  </si>
  <si>
    <t>จ่ายพนักงานสิ้นเดือน (นิค)</t>
  </si>
  <si>
    <t>ค่าเติมน้ำมัน ผ่านท่า</t>
  </si>
  <si>
    <t>จ่ายค่าน้ำ เดือน ธ.ค.66</t>
  </si>
  <si>
    <t>รวมรายจ่าย</t>
  </si>
  <si>
    <t xml:space="preserve">เงินพิเศษ อื่นๆ </t>
  </si>
  <si>
    <t>ค่าซ่อมรถ อื่นๆ</t>
  </si>
  <si>
    <t>กำไรขั้นต้นในเดือน</t>
  </si>
  <si>
    <t>ซื้อของ จาก ร้านพอลลี่ แก๊ส</t>
  </si>
  <si>
    <t>คำนวณค่าตู้</t>
  </si>
  <si>
    <t>หักส่วนบุคคล</t>
  </si>
  <si>
    <t>ราคาตู้</t>
  </si>
  <si>
    <t>จ่ายพนักงานสิ้นเดือน</t>
  </si>
  <si>
    <t>จ่ายคนขับ</t>
  </si>
  <si>
    <t>ตู้ตกหล่นจาก app</t>
  </si>
  <si>
    <t>เล็ก</t>
  </si>
  <si>
    <t>กลาง</t>
  </si>
  <si>
    <t>ใหญ่</t>
  </si>
  <si>
    <t>รวมจำนวนตู้</t>
  </si>
  <si>
    <t>รวมที่ต้องจ่าย</t>
  </si>
  <si>
    <t>เบิกไปแล้ว</t>
  </si>
  <si>
    <t>รายรับรวม(หลังหัก 10%)</t>
  </si>
  <si>
    <t>20/5/2569</t>
  </si>
  <si>
    <t>รวมเบิกไปแล้ว</t>
  </si>
  <si>
    <t>การคิดเงินพิเศษ</t>
  </si>
  <si>
    <t>ค้างจ่ายค่าเที่ยว</t>
  </si>
  <si>
    <t>สรุปรายรับ จ่ายพนักงาน</t>
  </si>
  <si>
    <t xml:space="preserve">รายรับ </t>
  </si>
  <si>
    <t>เงินเดือน ดูแลรถ</t>
  </si>
  <si>
    <t>ค่าเที่ยว</t>
  </si>
  <si>
    <t>รายรับรวม</t>
  </si>
  <si>
    <t>หักประกันสังคม</t>
  </si>
  <si>
    <t>เบิกค่าเที่ยวไปแล้ววันที่ 10</t>
  </si>
  <si>
    <t>จ่ายค่าเช่าร้าน 2 คูหา</t>
  </si>
  <si>
    <t>เบิกค่าเที่ยวไปแล้ววันที่ 20</t>
  </si>
  <si>
    <t>คงเหลือ</t>
  </si>
  <si>
    <t>จ่ายประกันสังคม เดือน ธ.ค.66</t>
  </si>
  <si>
    <t>หักส่วนบุคคล 3%</t>
  </si>
  <si>
    <t>ซื้อของ จาก ร้านค้าส่ง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</si>
  <si>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</si>
  <si>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วงศกร กลิ่นบุญเกิด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</si>
  <si>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</si>
  <si>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</si>
  <si>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สรุป</t>
  </si>
  <si>
    <t>รายรับ-รายจ่าย</t>
  </si>
  <si>
    <t>รายรับ ขายสินค้า</t>
  </si>
  <si>
    <t>รายจ่าย ต้นทุนขาย</t>
  </si>
  <si>
    <t>38(25,13)</t>
  </si>
  <si>
    <t>ค่าใช้จ่ายอื่นๆ</t>
  </si>
  <si>
    <t>36(26,10)</t>
  </si>
  <si>
    <t>วาล์วหม้อน้ำ น้ำยาหล่อเย็น</t>
  </si>
  <si>
    <t>ปะเก็นปั้มน้ำ น้ำมันพาวเวอร์ ท่อยาง</t>
  </si>
  <si>
    <t>กำไร (ขาดทุน)</t>
  </si>
  <si>
    <t>0625198007</t>
  </si>
  <si>
    <t>ค่าซ่อมเปลี่ยนวาล์ว ช่างเอ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</si>
  <si>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</si>
  <si>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26/5/2569</t>
  </si>
  <si>
    <t>สายัน หงษ์สันเทียะ</t>
  </si>
  <si>
    <t>สมุทรปราการ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</si>
  <si>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</si>
  <si>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</si>
  <si>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58(45,13)</t>
  </si>
  <si>
    <t>เช็คลมยาง</t>
  </si>
  <si>
    <t>48(35,13)</t>
  </si>
  <si>
    <t>16/5/2569</t>
  </si>
  <si>
    <t>42(27,15)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</si>
  <si>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</si>
  <si>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นพดล แคนลา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</si>
  <si>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</si>
  <si>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</si>
  <si>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จ่ายพนักงานสิ้นเดือน (พี่จบ)</t>
  </si>
  <si>
    <t>หักเงินยืมงวดที่ 2 (ต้น 12000)</t>
  </si>
  <si>
    <t>หักค่าผ่อนกระบะ</t>
  </si>
  <si>
    <t>เงินพิเศษ อื่นๆ  (หักค่ายืมเงิน 2000)</t>
  </si>
  <si>
    <t>51(34,17)</t>
  </si>
  <si>
    <t>44(38,46)</t>
  </si>
  <si>
    <t>เช็คลม ย้ำน็อต</t>
  </si>
  <si>
    <t>ยางกะละมังตื้น 8นิ้วx4 สปริงดึงหม้อลมสั้นx3</t>
  </si>
  <si>
    <t>19/5/2569</t>
  </si>
  <si>
    <t>60(41,19)</t>
  </si>
  <si>
    <t>24/5/2569</t>
  </si>
  <si>
    <t>ทำราวข้างหาง อัดจารบีหัวหาง ตั้งเบรคตัวแม่ หาง ช่างเอ</t>
  </si>
  <si>
    <t>function resetExcelValues() { var sheet = SpreadsheetApp.getActiveSpreadsheet().getActiveSheet(); // ระบุช่องที่ต้องการล้างข้อมูล sheet.getRangeList(['B2', 'C4:C10', 'E2']).clearContent(); }</t>
  </si>
  <si>
    <t>หักเงินยืมงวดที่ 6 (ต้น 14000)</t>
  </si>
  <si>
    <t>หักค่างวดรถกระบะ</t>
  </si>
  <si>
    <t>หักค่ายืมเงินงวด2 (ต้น12000)</t>
  </si>
  <si>
    <t>หักยืมเงินเดือนนี้</t>
  </si>
  <si>
    <t>หักค่ายืมเงินงวด6 (ต้น 14000)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</si>
  <si>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</si>
  <si>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วินัย เหวขุนทด</t>
  </si>
  <si>
    <t>ธกส</t>
  </si>
  <si>
    <t>020048915219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</si>
  <si>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</si>
  <si>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</si>
  <si>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27(21,6)</t>
  </si>
  <si>
    <t>เปลี่ยนยาง สลับยาง ผ่านท่า</t>
  </si>
  <si>
    <t>27(19,8)</t>
  </si>
  <si>
    <t>22/5/2569</t>
  </si>
  <si>
    <t>ค่าทางด่วน</t>
  </si>
  <si>
    <t>ประจบ</t>
  </si>
  <si>
    <t>0844868353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</si>
  <si>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</si>
  <si>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ประจบ กาชัย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</si>
  <si>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</si>
  <si>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</si>
  <si>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17/5/2569</t>
  </si>
  <si>
    <t>ผ่อนรถ งวด8</t>
  </si>
  <si>
    <t>สุริยะ วิ่งได้ 15 เที่ยว=2000 (โกงน้ำมัน) เอ็ม 13 เที่ยว = 1950</t>
  </si>
  <si>
    <t>ซ่อมแอร์สายกลางรั่ว โอริง</t>
  </si>
  <si>
    <t>หักเงินยืมเดือนละ 4000 งวด1 (ต้น 30000)</t>
  </si>
  <si>
    <t>ค่ามอเตอร์ไซด์ ผ่านท่า</t>
  </si>
  <si>
    <t>21/5/2569</t>
  </si>
  <si>
    <t>เบิกเงินค่าเที่ยว</t>
  </si>
  <si>
    <t>31/5/2569</t>
  </si>
  <si>
    <t>จ่ายเงินค่ารับจ๊อปน้าเป็ด 9 เที่ยว</t>
  </si>
  <si>
    <t>จ่ายเงินค่ารับจ๊อปโรจน์ 65 เที่ยว</t>
  </si>
  <si>
    <t>ผ่อนรถ งวด6</t>
  </si>
  <si>
    <t>ผ่อนหาง งวด6</t>
  </si>
  <si>
    <t>เงินพิเศษ อื่นๆ  (สงกราน)</t>
  </si>
  <si>
    <t>0935427955</t>
  </si>
  <si>
    <r>
      <rPr>
        <rFont val="Sarabun"/>
        <b/>
        <color theme="1"/>
        <sz val="16.0"/>
      </rPr>
      <t xml:space="preserve">ชื่อสถานประกอบการ (ชื่อร้าน)   : </t>
    </r>
    <r>
      <rPr>
        <rFont val="Sarabun"/>
        <b val="0"/>
        <color theme="1"/>
        <sz val="16.0"/>
      </rPr>
      <t xml:space="preserve">  </t>
    </r>
  </si>
  <si>
    <t>บุญมี ศรีสุระ</t>
  </si>
  <si>
    <t>Kbank</t>
  </si>
  <si>
    <r>
      <rPr>
        <rFont val="Sarabun"/>
        <b/>
        <color theme="1"/>
        <sz val="16.0"/>
      </rPr>
      <t xml:space="preserve">เลขผู้เสียภาษีอากร   : </t>
    </r>
    <r>
      <rPr>
        <rFont val="Sarabun"/>
        <color theme="1"/>
        <sz val="16.0"/>
      </rPr>
      <t xml:space="preserve">  </t>
    </r>
  </si>
  <si>
    <r>
      <rPr>
        <rFont val="Sarabun"/>
        <b/>
        <color theme="1"/>
        <sz val="16.0"/>
      </rPr>
      <t xml:space="preserve">สถานะ   : </t>
    </r>
    <r>
      <rPr>
        <rFont val="Sarabun"/>
        <b val="0"/>
        <color theme="1"/>
        <sz val="16.0"/>
      </rPr>
      <t xml:space="preserve">  VAT</t>
    </r>
  </si>
  <si>
    <t>32(24,8)</t>
  </si>
  <si>
    <t>35(31,4)</t>
  </si>
  <si>
    <t>40(29,11)</t>
  </si>
  <si>
    <t>ปั้มครัชล่างเบอร์ 505 หลอดไฟหน้าเบอร์ 506 หลอดไฟหน้าเบอร์ 501</t>
  </si>
  <si>
    <t>กรองอากาศ มอเตอร์ไซ ช่างเอ</t>
  </si>
  <si>
    <t>ส่งเอกสาร</t>
  </si>
  <si>
    <t>Sticker รถ</t>
  </si>
  <si>
    <t>memory ไฟฉาย ที่ชาร์จไฟในรถ</t>
  </si>
  <si>
    <t>Sticker รถ 514</t>
  </si>
  <si>
    <t>รางวัล sub ถึง 150ตู้ น้าดำ น้าเป็ด พัชร</t>
  </si>
  <si>
    <t>รายรับเดือน</t>
  </si>
  <si>
    <t>ธค</t>
  </si>
  <si>
    <t>วันที่ใบรับเงิน</t>
  </si>
  <si>
    <t>26/11/68</t>
  </si>
  <si>
    <t>รายรับ-จ่าย ภายในเดือน</t>
  </si>
  <si>
    <t>วันที่จ่ายเงินเดือน</t>
  </si>
  <si>
    <t>31/12/68</t>
  </si>
  <si>
    <t>Triple T + JTS</t>
  </si>
  <si>
    <t>วันที่</t>
  </si>
  <si>
    <t>เบอร์</t>
  </si>
  <si>
    <t>จำนวนเที่ยว</t>
  </si>
  <si>
    <t>รวม</t>
  </si>
  <si>
    <t>กำไร ขาดทุน</t>
  </si>
  <si>
    <t>ประกอบการ</t>
  </si>
  <si>
    <t>ทะเบียนหัว</t>
  </si>
  <si>
    <t>Chassis No.</t>
  </si>
  <si>
    <t>ทะเบียนหมดอายุ</t>
  </si>
  <si>
    <t>พรบ หมดอายุ</t>
  </si>
  <si>
    <t>ประกัน หมดอายุ</t>
  </si>
  <si>
    <t>ประกันสินค้า</t>
  </si>
  <si>
    <t>ทะเบียนหาง</t>
  </si>
  <si>
    <t>วันที่ทะเบียนหมดอายุ</t>
  </si>
  <si>
    <t>ประกัน</t>
  </si>
  <si>
    <t>วันหมดอายุประกัน</t>
  </si>
  <si>
    <t>ถ่ายน้ำมันเครื่อง</t>
  </si>
  <si>
    <t>ถ่ายน้ำมันเกียร์</t>
  </si>
  <si>
    <t>72-3584</t>
  </si>
  <si>
    <t>Mitsu FN215K50392</t>
  </si>
  <si>
    <t>30/09/69</t>
  </si>
  <si>
    <t>72-3585</t>
  </si>
  <si>
    <t>5374-PN34</t>
  </si>
  <si>
    <t>ERGO</t>
  </si>
  <si>
    <t>74-5230</t>
  </si>
  <si>
    <t>Mitsu Fuso MMJFM65F15C000690</t>
  </si>
  <si>
    <t>31/03/70</t>
  </si>
  <si>
    <t>31/03/70 (วิริยะ)</t>
  </si>
  <si>
    <t>74-8395</t>
  </si>
  <si>
    <t>P48-7198</t>
  </si>
  <si>
    <t xml:space="preserve">31/03/69, 31/12/68 </t>
  </si>
  <si>
    <t>13/06/69</t>
  </si>
  <si>
    <t>73-3382</t>
  </si>
  <si>
    <t>Nissan CDA214M00380</t>
  </si>
  <si>
    <t>31/12/69</t>
  </si>
  <si>
    <t>31/12/69 (วิริยะ)</t>
  </si>
  <si>
    <t>73-7154</t>
  </si>
  <si>
    <t>SMM100447-0790</t>
  </si>
  <si>
    <t>25/01/69</t>
  </si>
  <si>
    <t>74-8394</t>
  </si>
  <si>
    <t>Hino FM2PKPA-11344</t>
  </si>
  <si>
    <t>73-3384</t>
  </si>
  <si>
    <t>31/03/69</t>
  </si>
  <si>
    <t>16/06/69</t>
  </si>
  <si>
    <t>74-8874</t>
  </si>
  <si>
    <t>Hino FM2PKPA-13552</t>
  </si>
  <si>
    <t>30/06/69</t>
  </si>
  <si>
    <t>30/06/2569 (วิริยะ)</t>
  </si>
  <si>
    <t>3/11/2569 (ไทยวิวัฒน์)</t>
  </si>
  <si>
    <t>74-8875</t>
  </si>
  <si>
    <t>SMM100236-0010</t>
  </si>
  <si>
    <t>วิริยะ</t>
  </si>
  <si>
    <t>74-9438</t>
  </si>
  <si>
    <t>Isuzu GXZ23KZ247001842</t>
  </si>
  <si>
    <t>30/06/2569</t>
  </si>
  <si>
    <t>28/08/2569 (ไทยวิวัฒน์)</t>
  </si>
  <si>
    <t>AXA</t>
  </si>
  <si>
    <t>74-9697</t>
  </si>
  <si>
    <t>P47-7704</t>
  </si>
  <si>
    <t>26/06/69, 30/09/69</t>
  </si>
  <si>
    <t>ไทยวิวัฒน์</t>
  </si>
  <si>
    <t>28/08/69</t>
  </si>
  <si>
    <t>27/4/2569</t>
  </si>
  <si>
    <t>74-9437</t>
  </si>
  <si>
    <t>Isuzu GXZ23KZ223000839</t>
  </si>
  <si>
    <t>24/09/2569 (ERGO)</t>
  </si>
  <si>
    <t>74-7023</t>
  </si>
  <si>
    <t>P50-8829</t>
  </si>
  <si>
    <t>30/06/69, 31/12/68</t>
  </si>
  <si>
    <t>24/09/69</t>
  </si>
  <si>
    <t>75-0287 สป</t>
  </si>
  <si>
    <t>Isuzu GXZ23KZ2 47001795 (2013)</t>
  </si>
  <si>
    <t>19/01/2570 (AXA)</t>
  </si>
  <si>
    <t>75-0288 สป</t>
  </si>
  <si>
    <t>PANUS PS2SC1220, P477705</t>
  </si>
  <si>
    <t>19/01/2570</t>
  </si>
  <si>
    <t>75-0286 สป</t>
  </si>
  <si>
    <t>Isuzu GXZ23KZ2 47001843 (2007)</t>
  </si>
  <si>
    <t>17/01/2570 (AXA)</t>
  </si>
  <si>
    <t>75-0289 สป</t>
  </si>
  <si>
    <t>PANUS PS2SC1220, P477690</t>
  </si>
  <si>
    <t>17/01/2570</t>
  </si>
  <si>
    <t>ไทยวิวัฒน์ / AXA</t>
  </si>
  <si>
    <t>13/10/2568</t>
  </si>
  <si>
    <t>ต่อทะเบียนและพรบ คันที่หมดอายุแล้ว</t>
  </si>
  <si>
    <t>ต่อทะเบียนและพรบ คันที่ใกล้หมดอายุแล้ว</t>
  </si>
  <si>
    <t>หาง501</t>
  </si>
  <si>
    <t>ประกันรถจะหมด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</si>
</sst>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_-;\-* #,##0.00_-;_-* &quot;-&quot;??_-;_-@"/>
    <numFmt numFmtId="165" formatCode="m/d/yyyy"/>
    <numFmt numFmtId="166" formatCode="_-* #,##0_-;\-* #,##0_-;_-* &quot;-&quot;??_-;_-@"/>
    <numFmt numFmtId="167" formatCode="_-* #,##0.0_-;\-* #,##0.0_-;_-* &quot;-&quot;??.0_-;_-@"/>
    <numFmt numFmtId="168" formatCode="m&quot;/&quot;d&quot;/&quot;yyyydmyy"/>
    <numFmt numFmtId="169" formatCode="mm/dd/yy"/>
    <numFmt numFmtId="170" formatCode="m/yyyy"/>
    <numFmt numFmtId="171" formatCode="mm/dd/yyyy"/>
  </numFmts>
  <fonts count="21">
    <font>
      <sz val="10.0"/>
      <color rgb="FF000000"/>
      <name val="Arial"/>
      <scheme val="minor"/>
    </font>
    <font>
      <b/>
      <sz val="16.0"/>
      <color theme="1"/>
      <name val="Sarabun"/>
    </font>
    <font>
      <b/>
      <sz val="14.0"/>
      <color theme="1"/>
      <name val="Sarabun"/>
    </font>
    <font>
      <sz val="10.0"/>
      <color theme="1"/>
      <name val="Sarabun"/>
    </font>
    <font>
      <sz val="16.0"/>
      <color theme="1"/>
      <name val="Sarabun"/>
    </font>
    <font>
      <sz val="16.0"/>
      <color rgb="FF000000"/>
      <name val="Arial"/>
    </font>
    <font>
      <color theme="1"/>
      <name val="Arial"/>
    </font>
    <font>
      <b/>
      <sz val="10.0"/>
      <color rgb="FFFFFFFF"/>
      <name val="Sarabun"/>
    </font>
    <font>
      <b/>
      <sz val="12.0"/>
      <color theme="1"/>
      <name val="Sarabun"/>
    </font>
    <font/>
    <font>
      <sz val="12.0"/>
      <color theme="1"/>
      <name val="Sarabun"/>
    </font>
    <font>
      <sz val="16.0"/>
      <color rgb="FF000000"/>
      <name val="Angsana New"/>
    </font>
    <font>
      <b/>
      <sz val="12.0"/>
      <color rgb="FF000000"/>
      <name val="Sarabun"/>
    </font>
    <font>
      <b/>
      <color theme="1"/>
      <name val="Arial"/>
    </font>
    <font>
      <color rgb="FF980000"/>
      <name val="Arial"/>
    </font>
    <font>
      <b/>
      <sz val="12.0"/>
      <color theme="1"/>
      <name val="Arial"/>
    </font>
    <font>
      <color theme="1"/>
      <name val="Arial"/>
      <scheme val="minor"/>
    </font>
    <font>
      <sz val="12.0"/>
      <color rgb="FF000000"/>
      <name val="Sarabun"/>
    </font>
    <font>
      <sz val="12.0"/>
      <color rgb="FF000000"/>
      <name val="Arial"/>
    </font>
    <font>
      <sz val="12.0"/>
      <color rgb="FFFF0000"/>
      <name val="Sarabun"/>
    </font>
    <font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1" numFmtId="4" xfId="0" applyFont="1" applyNumberFormat="1"/>
    <xf borderId="0" fillId="0" fontId="4" numFmtId="0" xfId="0" applyAlignment="1" applyFont="1">
      <alignment horizontal="left"/>
    </xf>
    <xf borderId="0" fillId="0" fontId="3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vertic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quotePrefix="1" borderId="0" fillId="0" fontId="1" numFmtId="0" xfId="0" applyFont="1"/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 readingOrder="0"/>
    </xf>
    <xf borderId="0" fillId="0" fontId="6" numFmtId="164" xfId="0" applyAlignment="1" applyFont="1" applyNumberFormat="1">
      <alignment vertical="bottom"/>
    </xf>
    <xf borderId="1" fillId="2" fontId="7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2" fillId="2" fontId="7" numFmtId="164" xfId="0" applyAlignment="1" applyBorder="1" applyFont="1" applyNumberFormat="1">
      <alignment horizontal="center" vertical="center"/>
    </xf>
    <xf borderId="2" fillId="3" fontId="8" numFmtId="164" xfId="0" applyAlignment="1" applyBorder="1" applyFont="1" applyNumberForma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5" fillId="3" fontId="8" numFmtId="164" xfId="0" applyAlignment="1" applyBorder="1" applyFont="1" applyNumberFormat="1">
      <alignment horizontal="center" shrinkToFit="0" vertical="center" wrapText="1"/>
    </xf>
    <xf borderId="1" fillId="2" fontId="7" numFmtId="164" xfId="0" applyAlignment="1" applyBorder="1" applyFont="1" applyNumberFormat="1">
      <alignment horizontal="center" shrinkToFit="0" vertical="center" wrapText="1"/>
    </xf>
    <xf borderId="6" fillId="2" fontId="7" numFmtId="0" xfId="0" applyAlignment="1" applyBorder="1" applyFont="1">
      <alignment horizontal="center" vertical="center"/>
    </xf>
    <xf borderId="1" fillId="3" fontId="8" numFmtId="164" xfId="0" applyAlignment="1" applyBorder="1" applyFont="1" applyNumberForma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8" fillId="0" fontId="9" numFmtId="0" xfId="0" applyBorder="1" applyFont="1"/>
    <xf borderId="5" fillId="3" fontId="8" numFmtId="164" xfId="0" applyAlignment="1" applyBorder="1" applyFont="1" applyNumberFormat="1">
      <alignment horizontal="center" vertical="center"/>
    </xf>
    <xf borderId="5" fillId="2" fontId="7" numFmtId="164" xfId="0" applyAlignment="1" applyBorder="1" applyFont="1" applyNumberFormat="1">
      <alignment horizontal="center" vertical="center"/>
    </xf>
    <xf borderId="5" fillId="2" fontId="7" numFmtId="164" xfId="0" applyAlignment="1" applyBorder="1" applyFont="1" applyNumberForma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5" fillId="0" fontId="10" numFmtId="165" xfId="0" applyAlignment="1" applyBorder="1" applyFont="1" applyNumberFormat="1">
      <alignment horizontal="right" readingOrder="0" vertical="bottom"/>
    </xf>
    <xf borderId="5" fillId="0" fontId="10" numFmtId="0" xfId="0" applyAlignment="1" applyBorder="1" applyFont="1">
      <alignment readingOrder="0" vertical="center"/>
    </xf>
    <xf borderId="5" fillId="0" fontId="10" numFmtId="164" xfId="0" applyAlignment="1" applyBorder="1" applyFont="1" applyNumberFormat="1">
      <alignment vertical="center"/>
    </xf>
    <xf borderId="5" fillId="0" fontId="3" numFmtId="14" xfId="0" applyAlignment="1" applyBorder="1" applyFont="1" applyNumberFormat="1">
      <alignment horizontal="right" vertical="center"/>
    </xf>
    <xf borderId="5" fillId="0" fontId="10" numFmtId="164" xfId="0" applyAlignment="1" applyBorder="1" applyFont="1" applyNumberFormat="1">
      <alignment readingOrder="0" vertical="center"/>
    </xf>
    <xf borderId="5" fillId="0" fontId="10" numFmtId="165" xfId="0" applyAlignment="1" applyBorder="1" applyFont="1" applyNumberFormat="1">
      <alignment horizontal="right" vertical="bottom"/>
    </xf>
    <xf borderId="5" fillId="4" fontId="10" numFmtId="164" xfId="0" applyAlignment="1" applyBorder="1" applyFill="1" applyFont="1" applyNumberFormat="1">
      <alignment readingOrder="0" vertical="center"/>
    </xf>
    <xf borderId="5" fillId="0" fontId="6" numFmtId="164" xfId="0" applyBorder="1" applyFont="1" applyNumberFormat="1"/>
    <xf borderId="5" fillId="0" fontId="10" numFmtId="0" xfId="0" applyAlignment="1" applyBorder="1" applyFont="1">
      <alignment vertical="center"/>
    </xf>
    <xf borderId="0" fillId="0" fontId="11" numFmtId="0" xfId="0" applyFont="1"/>
    <xf borderId="5" fillId="0" fontId="3" numFmtId="0" xfId="0" applyAlignment="1" applyBorder="1" applyFont="1">
      <alignment vertical="center"/>
    </xf>
    <xf borderId="8" fillId="0" fontId="10" numFmtId="164" xfId="0" applyAlignment="1" applyBorder="1" applyFont="1" applyNumberFormat="1">
      <alignment vertical="center"/>
    </xf>
    <xf borderId="0" fillId="0" fontId="6" numFmtId="0" xfId="0" applyAlignment="1" applyFont="1">
      <alignment vertical="bottom"/>
    </xf>
    <xf borderId="5" fillId="0" fontId="3" numFmtId="164" xfId="0" applyAlignment="1" applyBorder="1" applyFont="1" applyNumberFormat="1">
      <alignment vertical="center"/>
    </xf>
    <xf borderId="5" fillId="0" fontId="10" numFmtId="164" xfId="0" applyAlignment="1" applyBorder="1" applyFont="1" applyNumberFormat="1">
      <alignment horizontal="right" vertical="center"/>
    </xf>
    <xf borderId="5" fillId="4" fontId="10" numFmtId="164" xfId="0" applyAlignment="1" applyBorder="1" applyFont="1" applyNumberFormat="1">
      <alignment vertical="center"/>
    </xf>
    <xf borderId="5" fillId="0" fontId="3" numFmtId="164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right" readingOrder="0" vertical="bottom"/>
    </xf>
    <xf borderId="5" fillId="0" fontId="10" numFmtId="165" xfId="0" applyAlignment="1" applyBorder="1" applyFont="1" applyNumberFormat="1">
      <alignment horizontal="right"/>
    </xf>
    <xf borderId="5" fillId="0" fontId="10" numFmtId="0" xfId="0" applyAlignment="1" applyBorder="1" applyFont="1">
      <alignment horizontal="right" vertical="bottom"/>
    </xf>
    <xf borderId="3" fillId="0" fontId="10" numFmtId="0" xfId="0" applyBorder="1" applyFont="1"/>
    <xf borderId="8" fillId="0" fontId="6" numFmtId="164" xfId="0" applyBorder="1" applyFont="1" applyNumberFormat="1"/>
    <xf borderId="3" fillId="0" fontId="10" numFmtId="0" xfId="0" applyAlignment="1" applyBorder="1" applyFont="1">
      <alignment vertical="bottom"/>
    </xf>
    <xf borderId="5" fillId="0" fontId="10" numFmtId="164" xfId="0" applyAlignment="1" applyBorder="1" applyFont="1" applyNumberFormat="1">
      <alignment horizontal="right" readingOrder="0" vertical="center"/>
    </xf>
    <xf borderId="3" fillId="0" fontId="6" numFmtId="0" xfId="0" applyAlignment="1" applyBorder="1" applyFont="1">
      <alignment vertical="bottom"/>
    </xf>
    <xf borderId="3" fillId="0" fontId="6" numFmtId="164" xfId="0" applyAlignment="1" applyBorder="1" applyFont="1" applyNumberFormat="1">
      <alignment vertical="bottom"/>
    </xf>
    <xf borderId="3" fillId="0" fontId="10" numFmtId="164" xfId="0" applyAlignment="1" applyBorder="1" applyFont="1" applyNumberFormat="1">
      <alignment horizontal="right" vertical="bottom"/>
    </xf>
    <xf borderId="5" fillId="4" fontId="10" numFmtId="164" xfId="0" applyAlignment="1" applyBorder="1" applyFont="1" applyNumberFormat="1">
      <alignment horizontal="right" readingOrder="0" vertical="center"/>
    </xf>
    <xf borderId="10" fillId="0" fontId="10" numFmtId="0" xfId="0" applyAlignment="1" applyBorder="1" applyFont="1">
      <alignment vertical="bottom"/>
    </xf>
    <xf borderId="10" fillId="0" fontId="6" numFmtId="164" xfId="0" applyAlignment="1" applyBorder="1" applyFont="1" applyNumberFormat="1">
      <alignment vertical="bottom"/>
    </xf>
    <xf borderId="10" fillId="0" fontId="6" numFmtId="0" xfId="0" applyAlignment="1" applyBorder="1" applyFont="1">
      <alignment vertical="bottom"/>
    </xf>
    <xf borderId="10" fillId="0" fontId="6" numFmtId="164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readingOrder="0" vertical="bottom"/>
    </xf>
    <xf borderId="5" fillId="0" fontId="10" numFmtId="0" xfId="0" applyAlignment="1" applyBorder="1" applyFont="1">
      <alignment readingOrder="0" vertical="bottom"/>
    </xf>
    <xf borderId="5" fillId="0" fontId="6" numFmtId="164" xfId="0" applyAlignment="1" applyBorder="1" applyFont="1" applyNumberFormat="1">
      <alignment vertical="bottom"/>
    </xf>
    <xf borderId="5" fillId="4" fontId="6" numFmtId="164" xfId="0" applyAlignment="1" applyBorder="1" applyFont="1" applyNumberFormat="1">
      <alignment readingOrder="0" vertical="bottom"/>
    </xf>
    <xf borderId="5" fillId="0" fontId="6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5" fillId="0" fontId="10" numFmtId="164" xfId="0" applyAlignment="1" applyBorder="1" applyFont="1" applyNumberFormat="1">
      <alignment horizontal="right" vertical="bottom"/>
    </xf>
    <xf borderId="5" fillId="0" fontId="6" numFmtId="164" xfId="0" applyAlignment="1" applyBorder="1" applyFont="1" applyNumberFormat="1">
      <alignment readingOrder="0" vertical="bottom"/>
    </xf>
    <xf borderId="5" fillId="0" fontId="10" numFmtId="0" xfId="0" applyBorder="1" applyFont="1"/>
    <xf borderId="5" fillId="0" fontId="10" numFmtId="0" xfId="0" applyAlignment="1" applyBorder="1" applyFont="1">
      <alignment horizontal="right" vertical="center"/>
    </xf>
    <xf borderId="3" fillId="0" fontId="10" numFmtId="0" xfId="0" applyAlignment="1" applyBorder="1" applyFont="1">
      <alignment readingOrder="0" vertical="bottom"/>
    </xf>
    <xf borderId="10" fillId="0" fontId="10" numFmtId="0" xfId="0" applyAlignment="1" applyBorder="1" applyFont="1">
      <alignment vertical="center"/>
    </xf>
    <xf borderId="10" fillId="0" fontId="10" numFmtId="164" xfId="0" applyAlignment="1" applyBorder="1" applyFont="1" applyNumberFormat="1">
      <alignment vertical="center"/>
    </xf>
    <xf borderId="10" fillId="0" fontId="10" numFmtId="164" xfId="0" applyAlignment="1" applyBorder="1" applyFont="1" applyNumberFormat="1">
      <alignment horizontal="right" vertical="center"/>
    </xf>
    <xf borderId="3" fillId="0" fontId="6" numFmtId="164" xfId="0" applyAlignment="1" applyBorder="1" applyFont="1" applyNumberFormat="1">
      <alignment readingOrder="0" vertical="bottom"/>
    </xf>
    <xf borderId="10" fillId="0" fontId="6" numFmtId="164" xfId="0" applyAlignment="1" applyBorder="1" applyFont="1" applyNumberFormat="1">
      <alignment readingOrder="0" vertical="bottom"/>
    </xf>
    <xf borderId="5" fillId="0" fontId="6" numFmtId="0" xfId="0" applyBorder="1" applyFont="1"/>
    <xf borderId="5" fillId="0" fontId="3" numFmtId="14" xfId="0" applyAlignment="1" applyBorder="1" applyFont="1" applyNumberFormat="1">
      <alignment vertical="center"/>
    </xf>
    <xf borderId="5" fillId="0" fontId="10" numFmtId="164" xfId="0" applyAlignment="1" applyBorder="1" applyFont="1" applyNumberFormat="1">
      <alignment horizontal="right"/>
    </xf>
    <xf borderId="5" fillId="0" fontId="10" numFmtId="14" xfId="0" applyAlignment="1" applyBorder="1" applyFont="1" applyNumberFormat="1">
      <alignment horizontal="right" vertical="bottom"/>
    </xf>
    <xf borderId="5" fillId="0" fontId="10" numFmtId="0" xfId="0" applyAlignment="1" applyBorder="1" applyFont="1">
      <alignment horizontal="right"/>
    </xf>
    <xf borderId="5" fillId="0" fontId="10" numFmtId="14" xfId="0" applyAlignment="1" applyBorder="1" applyFont="1" applyNumberFormat="1">
      <alignment horizontal="right" vertical="center"/>
    </xf>
    <xf borderId="5" fillId="0" fontId="10" numFmtId="4" xfId="0" applyAlignment="1" applyBorder="1" applyFont="1" applyNumberFormat="1">
      <alignment horizontal="right" readingOrder="0"/>
    </xf>
    <xf borderId="5" fillId="0" fontId="10" numFmtId="0" xfId="0" applyAlignment="1" applyBorder="1" applyFont="1">
      <alignment readingOrder="0"/>
    </xf>
    <xf borderId="5" fillId="0" fontId="10" numFmtId="14" xfId="0" applyAlignment="1" applyBorder="1" applyFont="1" applyNumberFormat="1">
      <alignment vertical="center"/>
    </xf>
    <xf borderId="5" fillId="0" fontId="10" numFmtId="0" xfId="0" applyAlignment="1" applyBorder="1" applyFont="1">
      <alignment horizontal="right" readingOrder="0"/>
    </xf>
    <xf borderId="5" fillId="0" fontId="6" numFmtId="0" xfId="0" applyAlignment="1" applyBorder="1" applyFont="1">
      <alignment readingOrder="0"/>
    </xf>
    <xf borderId="11" fillId="0" fontId="10" numFmtId="0" xfId="0" applyAlignment="1" applyBorder="1" applyFont="1">
      <alignment vertical="center"/>
    </xf>
    <xf borderId="11" fillId="0" fontId="10" numFmtId="164" xfId="0" applyAlignment="1" applyBorder="1" applyFont="1" applyNumberFormat="1">
      <alignment vertical="center"/>
    </xf>
    <xf borderId="12" fillId="0" fontId="10" numFmtId="0" xfId="0" applyAlignment="1" applyBorder="1" applyFont="1">
      <alignment vertical="center"/>
    </xf>
    <xf borderId="10" fillId="0" fontId="10" numFmtId="0" xfId="0" applyAlignment="1" applyBorder="1" applyFont="1">
      <alignment readingOrder="0" vertical="bottom"/>
    </xf>
    <xf borderId="10" fillId="0" fontId="6" numFmtId="164" xfId="0" applyAlignment="1" applyBorder="1" applyFont="1" applyNumberFormat="1">
      <alignment horizontal="right" readingOrder="0" vertical="bottom"/>
    </xf>
    <xf borderId="0" fillId="0" fontId="10" numFmtId="0" xfId="0" applyAlignment="1" applyFont="1">
      <alignment vertical="center"/>
    </xf>
    <xf borderId="0" fillId="0" fontId="6" numFmtId="164" xfId="0" applyAlignment="1" applyFont="1" applyNumberFormat="1">
      <alignment horizontal="right" vertical="bottom"/>
    </xf>
    <xf borderId="0" fillId="0" fontId="6" numFmtId="0" xfId="0" applyFont="1"/>
    <xf borderId="0" fillId="0" fontId="6" numFmtId="164" xfId="0" applyFont="1" applyNumberFormat="1"/>
    <xf borderId="2" fillId="3" fontId="8" numFmtId="164" xfId="0" applyAlignment="1" applyBorder="1" applyFont="1" applyNumberFormat="1">
      <alignment horizontal="center"/>
    </xf>
    <xf borderId="5" fillId="3" fontId="12" numFmtId="164" xfId="0" applyAlignment="1" applyBorder="1" applyFont="1" applyNumberFormat="1">
      <alignment horizontal="left" shrinkToFit="0" vertical="center" wrapText="1"/>
    </xf>
    <xf borderId="5" fillId="0" fontId="10" numFmtId="166" xfId="0" applyAlignment="1" applyBorder="1" applyFont="1" applyNumberFormat="1">
      <alignment horizontal="center" vertical="center"/>
    </xf>
    <xf borderId="2" fillId="0" fontId="10" numFmtId="166" xfId="0" applyAlignment="1" applyBorder="1" applyFont="1" applyNumberFormat="1">
      <alignment horizontal="center" vertical="center"/>
    </xf>
    <xf borderId="2" fillId="0" fontId="10" numFmtId="166" xfId="0" applyAlignment="1" applyBorder="1" applyFont="1" applyNumberFormat="1">
      <alignment horizontal="center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0" fillId="3" fontId="8" numFmtId="166" xfId="0" applyAlignment="1" applyFont="1" applyNumberFormat="1">
      <alignment horizontal="center" vertical="center"/>
    </xf>
    <xf borderId="5" fillId="3" fontId="8" numFmtId="166" xfId="0" applyAlignment="1" applyBorder="1" applyFont="1" applyNumberFormat="1">
      <alignment horizontal="center" vertical="center"/>
    </xf>
    <xf borderId="3" fillId="3" fontId="8" numFmtId="166" xfId="0" applyAlignment="1" applyBorder="1" applyFont="1" applyNumberFormat="1">
      <alignment horizontal="center" vertical="center"/>
    </xf>
    <xf borderId="3" fillId="3" fontId="8" numFmtId="166" xfId="0" applyAlignment="1" applyBorder="1" applyFont="1" applyNumberFormat="1">
      <alignment horizontal="center"/>
    </xf>
    <xf borderId="5" fillId="0" fontId="13" numFmtId="0" xfId="0" applyBorder="1" applyFont="1"/>
    <xf borderId="5" fillId="0" fontId="13" numFmtId="166" xfId="0" applyBorder="1" applyFont="1" applyNumberFormat="1"/>
    <xf borderId="5" fillId="0" fontId="10" numFmtId="166" xfId="0" applyAlignment="1" applyBorder="1" applyFont="1" applyNumberFormat="1">
      <alignment horizontal="center" readingOrder="0" vertical="center"/>
    </xf>
    <xf borderId="5" fillId="0" fontId="10" numFmtId="166" xfId="0" applyAlignment="1" applyBorder="1" applyFont="1" applyNumberFormat="1">
      <alignment horizontal="center"/>
    </xf>
    <xf borderId="5" fillId="0" fontId="6" numFmtId="0" xfId="0" applyAlignment="1" applyBorder="1" applyFont="1">
      <alignment horizontal="right" vertical="bottom"/>
    </xf>
    <xf borderId="5" fillId="0" fontId="6" numFmtId="166" xfId="0" applyBorder="1" applyFont="1" applyNumberFormat="1"/>
    <xf borderId="2" fillId="0" fontId="14" numFmtId="0" xfId="0" applyAlignment="1" applyBorder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right" readingOrder="0" vertical="bottom"/>
    </xf>
    <xf borderId="0" fillId="0" fontId="6" numFmtId="166" xfId="0" applyFont="1" applyNumberFormat="1"/>
    <xf borderId="0" fillId="0" fontId="15" numFmtId="0" xfId="0" applyFont="1"/>
    <xf borderId="0" fillId="0" fontId="15" numFmtId="164" xfId="0" applyFont="1" applyNumberFormat="1"/>
    <xf borderId="0" fillId="0" fontId="16" numFmtId="166" xfId="0" applyFont="1" applyNumberFormat="1"/>
    <xf borderId="0" fillId="0" fontId="6" numFmtId="0" xfId="0" applyAlignment="1" applyFont="1">
      <alignment readingOrder="0"/>
    </xf>
    <xf borderId="0" fillId="0" fontId="13" numFmtId="0" xfId="0" applyFont="1"/>
    <xf borderId="0" fillId="0" fontId="13" numFmtId="166" xfId="0" applyFont="1" applyNumberFormat="1"/>
    <xf borderId="0" fillId="0" fontId="13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0" fontId="17" numFmtId="0" xfId="0" applyAlignment="1" applyFont="1">
      <alignment horizontal="left"/>
    </xf>
    <xf borderId="0" fillId="0" fontId="17" numFmtId="164" xfId="0" applyFont="1" applyNumberFormat="1"/>
    <xf borderId="0" fillId="0" fontId="18" numFmtId="164" xfId="0" applyFont="1" applyNumberFormat="1"/>
    <xf borderId="0" fillId="0" fontId="17" numFmtId="0" xfId="0" applyFont="1"/>
    <xf borderId="0" fillId="0" fontId="17" numFmtId="164" xfId="0" applyAlignment="1" applyFont="1" applyNumberFormat="1">
      <alignment horizontal="right"/>
    </xf>
    <xf borderId="0" fillId="0" fontId="17" numFmtId="10" xfId="0" applyAlignment="1" applyFont="1" applyNumberFormat="1">
      <alignment horizontal="right"/>
    </xf>
    <xf borderId="13" fillId="0" fontId="17" numFmtId="164" xfId="0" applyAlignment="1" applyBorder="1" applyFont="1" applyNumberFormat="1">
      <alignment horizontal="right"/>
    </xf>
    <xf borderId="5" fillId="0" fontId="10" numFmtId="165" xfId="0" applyAlignment="1" applyBorder="1" applyFont="1" applyNumberFormat="1">
      <alignment horizontal="right" readingOrder="0"/>
    </xf>
    <xf borderId="14" fillId="0" fontId="18" numFmtId="164" xfId="0" applyAlignment="1" applyBorder="1" applyFont="1" applyNumberFormat="1">
      <alignment horizontal="right"/>
    </xf>
    <xf borderId="3" fillId="0" fontId="6" numFmtId="0" xfId="0" applyBorder="1" applyFont="1"/>
    <xf borderId="3" fillId="0" fontId="6" numFmtId="164" xfId="0" applyBorder="1" applyFont="1" applyNumberFormat="1"/>
    <xf borderId="3" fillId="0" fontId="10" numFmtId="164" xfId="0" applyAlignment="1" applyBorder="1" applyFont="1" applyNumberFormat="1">
      <alignment horizontal="right"/>
    </xf>
    <xf borderId="5" fillId="0" fontId="10" numFmtId="14" xfId="0" applyAlignment="1" applyBorder="1" applyFont="1" applyNumberFormat="1">
      <alignment horizontal="right"/>
    </xf>
    <xf borderId="5" fillId="0" fontId="19" numFmtId="164" xfId="0" applyAlignment="1" applyBorder="1" applyFont="1" applyNumberFormat="1">
      <alignment readingOrder="0" vertical="center"/>
    </xf>
    <xf borderId="3" fillId="0" fontId="10" numFmtId="0" xfId="0" applyAlignment="1" applyBorder="1" applyFont="1">
      <alignment readingOrder="0"/>
    </xf>
    <xf borderId="5" fillId="0" fontId="10" numFmtId="0" xfId="0" applyAlignment="1" applyBorder="1" applyFont="1">
      <alignment horizontal="right" readingOrder="0" vertical="center"/>
    </xf>
    <xf borderId="5" fillId="0" fontId="10" numFmtId="164" xfId="0" applyAlignment="1" applyBorder="1" applyFont="1" applyNumberFormat="1">
      <alignment horizontal="right" readingOrder="0" vertical="bottom"/>
    </xf>
    <xf borderId="5" fillId="4" fontId="10" numFmtId="164" xfId="0" applyAlignment="1" applyBorder="1" applyFont="1" applyNumberFormat="1">
      <alignment horizontal="right" readingOrder="0"/>
    </xf>
    <xf borderId="0" fillId="0" fontId="10" numFmtId="16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/>
    </xf>
    <xf borderId="0" fillId="0" fontId="6" numFmtId="0" xfId="0" applyAlignment="1" applyFont="1">
      <alignment horizontal="right" vertical="bottom"/>
    </xf>
    <xf borderId="0" fillId="0" fontId="16" numFmtId="0" xfId="0" applyAlignment="1" applyFont="1">
      <alignment readingOrder="0"/>
    </xf>
    <xf borderId="0" fillId="0" fontId="8" numFmtId="166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/>
    </xf>
    <xf borderId="5" fillId="0" fontId="19" numFmtId="0" xfId="0" applyAlignment="1" applyBorder="1" applyFont="1">
      <alignment horizontal="left" readingOrder="0" vertical="center"/>
    </xf>
    <xf borderId="0" fillId="0" fontId="16" numFmtId="166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quotePrefix="1" borderId="0" fillId="0" fontId="4" numFmtId="0" xfId="0" applyAlignment="1" applyFont="1">
      <alignment horizontal="left" readingOrder="0"/>
    </xf>
    <xf borderId="3" fillId="0" fontId="6" numFmtId="0" xfId="0" applyAlignment="1" applyBorder="1" applyFont="1">
      <alignment readingOrder="0" vertical="bottom"/>
    </xf>
    <xf borderId="3" fillId="4" fontId="10" numFmtId="164" xfId="0" applyAlignment="1" applyBorder="1" applyFont="1" applyNumberFormat="1">
      <alignment horizontal="right" readingOrder="0" vertical="bottom"/>
    </xf>
    <xf borderId="8" fillId="0" fontId="10" numFmtId="164" xfId="0" applyAlignment="1" applyBorder="1" applyFont="1" applyNumberFormat="1">
      <alignment readingOrder="0" vertical="center"/>
    </xf>
    <xf borderId="5" fillId="0" fontId="17" numFmtId="164" xfId="0" applyAlignment="1" applyBorder="1" applyFont="1" applyNumberFormat="1">
      <alignment horizontal="right" readingOrder="0" vertical="bottom"/>
    </xf>
    <xf borderId="3" fillId="0" fontId="10" numFmtId="164" xfId="0" applyAlignment="1" applyBorder="1" applyFont="1" applyNumberFormat="1">
      <alignment horizontal="right" readingOrder="0" vertical="bottom"/>
    </xf>
    <xf borderId="5" fillId="0" fontId="10" numFmtId="164" xfId="0" applyAlignment="1" applyBorder="1" applyFont="1" applyNumberFormat="1">
      <alignment readingOrder="0" shrinkToFit="0" vertical="center" wrapText="1"/>
    </xf>
    <xf borderId="5" fillId="0" fontId="6" numFmtId="164" xfId="0" applyAlignment="1" applyBorder="1" applyFont="1" applyNumberFormat="1">
      <alignment readingOrder="0"/>
    </xf>
    <xf borderId="5" fillId="3" fontId="8" numFmtId="164" xfId="0" applyAlignment="1" applyBorder="1" applyFont="1" applyNumberFormat="1">
      <alignment horizontal="center"/>
    </xf>
    <xf borderId="0" fillId="0" fontId="10" numFmtId="0" xfId="0" applyAlignment="1" applyFont="1">
      <alignment readingOrder="0" shrinkToFit="0" vertical="center" wrapText="1"/>
    </xf>
    <xf quotePrefix="1" borderId="0" fillId="0" fontId="1" numFmtId="0" xfId="0" applyAlignment="1" applyFont="1">
      <alignment readingOrder="0"/>
    </xf>
    <xf borderId="5" fillId="0" fontId="10" numFmtId="167" xfId="0" applyAlignment="1" applyBorder="1" applyFont="1" applyNumberFormat="1">
      <alignment vertical="center"/>
    </xf>
    <xf borderId="5" fillId="0" fontId="10" numFmtId="3" xfId="0" applyAlignment="1" applyBorder="1" applyFont="1" applyNumberFormat="1">
      <alignment readingOrder="0" vertical="bottom"/>
    </xf>
    <xf borderId="0" fillId="0" fontId="15" numFmtId="0" xfId="0" applyAlignment="1" applyFont="1">
      <alignment vertical="bottom"/>
    </xf>
    <xf borderId="5" fillId="0" fontId="6" numFmtId="166" xfId="0" applyAlignment="1" applyBorder="1" applyFont="1" applyNumberFormat="1">
      <alignment horizontal="right" vertical="bottom"/>
    </xf>
    <xf borderId="5" fillId="0" fontId="6" numFmtId="164" xfId="0" applyAlignment="1" applyBorder="1" applyFont="1" applyNumberFormat="1">
      <alignment horizontal="right" vertical="bottom"/>
    </xf>
    <xf borderId="5" fillId="0" fontId="6" numFmtId="166" xfId="0" applyAlignment="1" applyBorder="1" applyFont="1" applyNumberFormat="1">
      <alignment vertical="bottom"/>
    </xf>
    <xf borderId="0" fillId="5" fontId="20" numFmtId="164" xfId="0" applyAlignment="1" applyFill="1" applyFont="1" applyNumberFormat="1">
      <alignment horizontal="right" vertical="bottom"/>
    </xf>
    <xf borderId="0" fillId="5" fontId="6" numFmtId="164" xfId="0" applyAlignment="1" applyFont="1" applyNumberFormat="1">
      <alignment horizontal="right" vertical="bottom"/>
    </xf>
    <xf borderId="0" fillId="4" fontId="6" numFmtId="168" xfId="0" applyFont="1" applyNumberFormat="1"/>
    <xf borderId="0" fillId="4" fontId="6" numFmtId="0" xfId="0" applyFont="1"/>
    <xf borderId="0" fillId="0" fontId="6" numFmtId="169" xfId="0" applyFont="1" applyNumberFormat="1"/>
    <xf borderId="0" fillId="0" fontId="6" numFmtId="0" xfId="0" applyAlignment="1" applyFont="1">
      <alignment horizontal="right" readingOrder="0" vertical="bottom"/>
    </xf>
    <xf borderId="0" fillId="6" fontId="6" numFmtId="0" xfId="0" applyAlignment="1" applyFill="1" applyFont="1">
      <alignment readingOrder="0"/>
    </xf>
    <xf borderId="0" fillId="0" fontId="6" numFmtId="0" xfId="0" applyAlignment="1" applyFont="1">
      <alignment horizontal="right"/>
    </xf>
    <xf borderId="0" fillId="0" fontId="6" numFmtId="165" xfId="0" applyFont="1" applyNumberFormat="1"/>
    <xf borderId="0" fillId="0" fontId="6" numFmtId="170" xfId="0" applyFont="1" applyNumberFormat="1"/>
    <xf borderId="0" fillId="7" fontId="6" numFmtId="168" xfId="0" applyFill="1" applyFont="1" applyNumberFormat="1"/>
    <xf borderId="0" fillId="7" fontId="6" numFmtId="0" xfId="0" applyFont="1"/>
    <xf borderId="0" fillId="4" fontId="6" numFmtId="0" xfId="0" applyAlignment="1" applyFont="1">
      <alignment horizontal="right"/>
    </xf>
    <xf borderId="0" fillId="8" fontId="6" numFmtId="0" xfId="0" applyFill="1" applyFont="1"/>
    <xf borderId="0" fillId="0" fontId="6" numFmtId="171" xfId="0" applyFont="1" applyNumberFormat="1"/>
    <xf borderId="0" fillId="9" fontId="6" numFmtId="168" xfId="0" applyFill="1" applyFont="1" applyNumberFormat="1"/>
    <xf borderId="0" fillId="6" fontId="6" numFmtId="0" xfId="0" applyFont="1"/>
    <xf borderId="0" fillId="0" fontId="6" numFmtId="0" xfId="0" applyAlignment="1" applyFont="1">
      <alignment vertical="bottom"/>
    </xf>
    <xf borderId="0" fillId="7" fontId="6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0000FF"/>
      </font>
      <fill>
        <patternFill patternType="solid">
          <fgColor rgb="FFB7E1CD"/>
          <bgColor rgb="FFB7E1CD"/>
        </patternFill>
      </fill>
      <border/>
    </dxf>
    <dxf>
      <font>
        <color rgb="FF66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1.63"/>
    <col customWidth="1" min="2" max="2" width="39.5"/>
    <col customWidth="1" min="3" max="4" width="15.88"/>
    <col customWidth="1" min="5" max="5" width="1.38"/>
    <col customWidth="1" min="6" max="10" width="15.5"/>
    <col customWidth="1" min="11" max="11" width="1.38"/>
    <col customWidth="1" min="12" max="12" width="13.13"/>
    <col customWidth="1" min="13" max="13" width="1.38"/>
    <col customWidth="1" min="14" max="14" width="36.5"/>
  </cols>
  <sheetData>
    <row r="1" ht="24.75" customHeight="1">
      <c r="A1" s="2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4.75" customHeight="1">
      <c r="A2" s="5" t="s">
        <v>5</v>
      </c>
      <c r="B2" s="6"/>
      <c r="C2" s="10" t="s">
        <v>6</v>
      </c>
      <c r="D2" s="6"/>
      <c r="E2" s="11"/>
      <c r="F2" s="11"/>
      <c r="G2" s="11"/>
      <c r="H2" s="11"/>
      <c r="I2" s="11"/>
      <c r="J2" s="11"/>
      <c r="K2" s="11"/>
      <c r="L2" s="1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4.75" customHeight="1">
      <c r="A3" s="5" t="s">
        <v>12</v>
      </c>
      <c r="B3" s="6"/>
      <c r="D3" s="10"/>
      <c r="E3" s="11"/>
      <c r="F3" s="11"/>
      <c r="G3" s="11"/>
      <c r="H3" s="11"/>
      <c r="I3" s="11"/>
      <c r="J3" s="11"/>
      <c r="K3" s="11"/>
      <c r="L3" s="1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9.75" customHeight="1">
      <c r="A4" s="5"/>
      <c r="B4" s="6"/>
      <c r="D4" s="10"/>
      <c r="E4" s="11"/>
      <c r="F4" s="11"/>
      <c r="G4" s="11"/>
      <c r="H4" s="11"/>
      <c r="I4" s="11"/>
      <c r="J4" s="11"/>
      <c r="K4" s="11"/>
      <c r="L4" s="1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4.75" customHeight="1">
      <c r="A5" s="18" t="s">
        <v>23</v>
      </c>
      <c r="B5" s="18" t="s">
        <v>25</v>
      </c>
      <c r="C5" s="20" t="s">
        <v>26</v>
      </c>
      <c r="D5" s="22"/>
      <c r="E5" s="11"/>
      <c r="F5" s="20" t="s">
        <v>28</v>
      </c>
      <c r="G5" s="23"/>
      <c r="H5" s="23"/>
      <c r="I5" s="23"/>
      <c r="J5" s="22"/>
      <c r="K5" s="11"/>
      <c r="L5" s="25" t="s">
        <v>29</v>
      </c>
      <c r="M5" s="3"/>
      <c r="N5" s="26" t="s">
        <v>30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29"/>
      <c r="B6" s="29"/>
      <c r="C6" s="31" t="s">
        <v>31</v>
      </c>
      <c r="D6" s="31" t="s">
        <v>32</v>
      </c>
      <c r="E6" s="11"/>
      <c r="F6" s="31" t="s">
        <v>36</v>
      </c>
      <c r="G6" s="32" t="s">
        <v>37</v>
      </c>
      <c r="H6" s="31" t="s">
        <v>34</v>
      </c>
      <c r="I6" s="31" t="s">
        <v>39</v>
      </c>
      <c r="J6" s="31" t="s">
        <v>40</v>
      </c>
      <c r="K6" s="11"/>
      <c r="L6" s="29"/>
      <c r="M6" s="3"/>
      <c r="N6" s="26" t="s">
        <v>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4.75" customHeight="1">
      <c r="A7" s="37">
        <v>243984.0</v>
      </c>
      <c r="B7" s="44" t="s">
        <v>43</v>
      </c>
      <c r="C7" s="47"/>
      <c r="D7" s="47"/>
      <c r="E7" s="11"/>
      <c r="F7" s="50">
        <v>346450.0</v>
      </c>
      <c r="G7" s="47"/>
      <c r="H7" s="47"/>
      <c r="I7" s="47"/>
      <c r="J7" s="47"/>
      <c r="K7" s="11"/>
      <c r="L7" s="47">
        <f>F7*7/107</f>
        <v>22664.95327</v>
      </c>
      <c r="M7" s="3"/>
      <c r="N7" s="47" t="s">
        <v>50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4.75" customHeight="1">
      <c r="A8" s="44"/>
      <c r="B8" s="44" t="s">
        <v>53</v>
      </c>
      <c r="C8" s="47"/>
      <c r="D8" s="50"/>
      <c r="E8" s="11"/>
      <c r="F8" s="47"/>
      <c r="G8" s="47">
        <v>124650.0</v>
      </c>
      <c r="H8" s="47"/>
      <c r="I8" s="47"/>
      <c r="J8" s="47"/>
      <c r="K8" s="11"/>
      <c r="L8" s="47"/>
      <c r="M8" s="3"/>
      <c r="N8" s="47" t="s">
        <v>55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4.75" customHeight="1">
      <c r="A9" s="44"/>
      <c r="B9" s="44" t="s">
        <v>56</v>
      </c>
      <c r="C9" s="47"/>
      <c r="D9" s="47"/>
      <c r="E9" s="11"/>
      <c r="F9" s="47"/>
      <c r="G9" s="47">
        <v>2400.0</v>
      </c>
      <c r="H9" s="47"/>
      <c r="I9" s="47"/>
      <c r="J9" s="50"/>
      <c r="K9" s="11"/>
      <c r="L9" s="47"/>
      <c r="M9" s="3"/>
      <c r="N9" s="47" t="s">
        <v>58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4.75" customHeight="1">
      <c r="A10" s="44"/>
      <c r="B10" s="44" t="s">
        <v>61</v>
      </c>
      <c r="C10" s="47"/>
      <c r="D10" s="50"/>
      <c r="E10" s="11"/>
      <c r="F10" s="47"/>
      <c r="G10" s="47"/>
      <c r="H10" s="47"/>
      <c r="I10" s="47"/>
      <c r="J10" s="47">
        <v>1500.0</v>
      </c>
      <c r="K10" s="11"/>
      <c r="L10" s="47"/>
      <c r="M10" s="3"/>
      <c r="N10" s="47" t="s">
        <v>58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4.75" customHeight="1">
      <c r="A11" s="44"/>
      <c r="B11" s="44" t="s">
        <v>64</v>
      </c>
      <c r="C11" s="47"/>
      <c r="D11" s="47"/>
      <c r="E11" s="11"/>
      <c r="F11" s="47"/>
      <c r="G11" s="47"/>
      <c r="H11" s="50">
        <v>150000.0</v>
      </c>
      <c r="I11" s="47"/>
      <c r="J11" s="47"/>
      <c r="K11" s="11"/>
      <c r="L11" s="47"/>
      <c r="M11" s="3"/>
      <c r="N11" s="47" t="s">
        <v>65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4.75" customHeight="1">
      <c r="A12" s="44"/>
      <c r="B12" s="44" t="s">
        <v>66</v>
      </c>
      <c r="C12" s="47">
        <v>200000.0</v>
      </c>
      <c r="D12" s="47">
        <f>C12*7/107</f>
        <v>13084.11215</v>
      </c>
      <c r="E12" s="11"/>
      <c r="F12" s="47"/>
      <c r="G12" s="47"/>
      <c r="H12" s="50"/>
      <c r="I12" s="47"/>
      <c r="J12" s="47"/>
      <c r="K12" s="11"/>
      <c r="L12" s="47"/>
      <c r="M12" s="3"/>
      <c r="N12" s="47" t="s">
        <v>68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4.75" customHeight="1">
      <c r="A13" s="37">
        <v>243985.0</v>
      </c>
      <c r="B13" s="44" t="s">
        <v>69</v>
      </c>
      <c r="C13" s="47"/>
      <c r="D13" s="47"/>
      <c r="E13" s="11"/>
      <c r="F13" s="50">
        <v>43080.0</v>
      </c>
      <c r="G13" s="47"/>
      <c r="H13" s="47"/>
      <c r="I13" s="47"/>
      <c r="J13" s="47"/>
      <c r="K13" s="11"/>
      <c r="L13" s="47">
        <f>F13*7/107</f>
        <v>2818.317757</v>
      </c>
      <c r="M13" s="3"/>
      <c r="N13" s="47" t="s">
        <v>50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4.75" customHeight="1">
      <c r="A14" s="44"/>
      <c r="B14" s="44" t="s">
        <v>71</v>
      </c>
      <c r="C14" s="47"/>
      <c r="D14" s="47"/>
      <c r="E14" s="11"/>
      <c r="F14" s="50"/>
      <c r="G14" s="47"/>
      <c r="H14" s="47"/>
      <c r="I14" s="47"/>
      <c r="J14" s="50">
        <v>2200.0</v>
      </c>
      <c r="K14" s="11"/>
      <c r="L14" s="50"/>
      <c r="M14" s="3"/>
      <c r="N14" s="47" t="s">
        <v>58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4.75" customHeight="1">
      <c r="A15" s="44"/>
      <c r="B15" s="44" t="s">
        <v>66</v>
      </c>
      <c r="C15" s="47">
        <v>150000.0</v>
      </c>
      <c r="D15" s="47">
        <f>C15*7/107</f>
        <v>9813.084112</v>
      </c>
      <c r="E15" s="11"/>
      <c r="F15" s="50"/>
      <c r="G15" s="47"/>
      <c r="H15" s="47"/>
      <c r="I15" s="47"/>
      <c r="J15" s="47"/>
      <c r="K15" s="11"/>
      <c r="L15" s="47"/>
      <c r="M15" s="3"/>
      <c r="N15" s="47" t="s">
        <v>68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4.75" customHeight="1">
      <c r="A16" s="83">
        <v>243986.0</v>
      </c>
      <c r="B16" s="44" t="s">
        <v>75</v>
      </c>
      <c r="C16" s="47"/>
      <c r="D16" s="47"/>
      <c r="E16" s="11"/>
      <c r="F16" s="50">
        <v>13520.0</v>
      </c>
      <c r="G16" s="47"/>
      <c r="H16" s="47"/>
      <c r="I16" s="47"/>
      <c r="J16" s="47"/>
      <c r="K16" s="11"/>
      <c r="L16" s="47">
        <f>F16*7/107</f>
        <v>884.4859813</v>
      </c>
      <c r="M16" s="3"/>
      <c r="N16" s="47" t="s">
        <v>50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4.75" customHeight="1">
      <c r="A17" s="44"/>
      <c r="B17" s="44" t="s">
        <v>66</v>
      </c>
      <c r="C17" s="47">
        <v>150000.0</v>
      </c>
      <c r="D17" s="47">
        <f>C17*7/107</f>
        <v>9813.084112</v>
      </c>
      <c r="E17" s="11"/>
      <c r="F17" s="50"/>
      <c r="G17" s="47"/>
      <c r="H17" s="47"/>
      <c r="I17" s="47"/>
      <c r="J17" s="47"/>
      <c r="K17" s="11"/>
      <c r="L17" s="47"/>
      <c r="M17" s="3"/>
      <c r="N17" s="47" t="s">
        <v>68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4.75" customHeight="1">
      <c r="A18" s="83">
        <v>243987.0</v>
      </c>
      <c r="B18" s="44" t="s">
        <v>43</v>
      </c>
      <c r="C18" s="47"/>
      <c r="D18" s="47"/>
      <c r="E18" s="11"/>
      <c r="F18" s="50">
        <v>40970.0</v>
      </c>
      <c r="G18" s="47"/>
      <c r="H18" s="47"/>
      <c r="I18" s="47"/>
      <c r="J18" s="47"/>
      <c r="K18" s="11"/>
      <c r="L18" s="47">
        <f>F18*7/107</f>
        <v>2680.280374</v>
      </c>
      <c r="M18" s="3"/>
      <c r="N18" s="47" t="s">
        <v>50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4.75" customHeight="1">
      <c r="A19" s="44"/>
      <c r="B19" s="44" t="s">
        <v>71</v>
      </c>
      <c r="C19" s="47"/>
      <c r="D19" s="47"/>
      <c r="E19" s="11"/>
      <c r="F19" s="50"/>
      <c r="G19" s="47"/>
      <c r="H19" s="47"/>
      <c r="I19" s="47"/>
      <c r="J19" s="50">
        <v>1500.0</v>
      </c>
      <c r="K19" s="11"/>
      <c r="L19" s="47"/>
      <c r="M19" s="3"/>
      <c r="N19" s="47" t="s">
        <v>58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4.75" customHeight="1">
      <c r="A20" s="44"/>
      <c r="B20" s="44" t="s">
        <v>81</v>
      </c>
      <c r="C20" s="47"/>
      <c r="D20" s="47"/>
      <c r="E20" s="11"/>
      <c r="F20" s="50"/>
      <c r="G20" s="47"/>
      <c r="H20" s="47"/>
      <c r="I20" s="47"/>
      <c r="J20" s="47">
        <v>400.0</v>
      </c>
      <c r="K20" s="11"/>
      <c r="L20" s="47"/>
      <c r="M20" s="3"/>
      <c r="N20" s="47" t="s">
        <v>82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4.75" customHeight="1">
      <c r="A21" s="44"/>
      <c r="B21" s="44" t="s">
        <v>66</v>
      </c>
      <c r="C21" s="47">
        <v>180000.0</v>
      </c>
      <c r="D21" s="47">
        <f>C21*7/107</f>
        <v>11775.70093</v>
      </c>
      <c r="E21" s="11"/>
      <c r="F21" s="50"/>
      <c r="G21" s="47"/>
      <c r="H21" s="47"/>
      <c r="I21" s="47"/>
      <c r="J21" s="47"/>
      <c r="K21" s="11"/>
      <c r="L21" s="47"/>
      <c r="M21" s="3"/>
      <c r="N21" s="47" t="s">
        <v>68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4.75" customHeight="1">
      <c r="A22" s="83">
        <v>243988.0</v>
      </c>
      <c r="B22" s="44" t="s">
        <v>56</v>
      </c>
      <c r="C22" s="47"/>
      <c r="D22" s="47"/>
      <c r="E22" s="11"/>
      <c r="F22" s="50"/>
      <c r="G22" s="50">
        <v>850.0</v>
      </c>
      <c r="H22" s="47"/>
      <c r="I22" s="47"/>
      <c r="J22" s="47"/>
      <c r="K22" s="11"/>
      <c r="L22" s="47"/>
      <c r="M22" s="3"/>
      <c r="N22" s="47" t="s">
        <v>58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4.75" customHeight="1">
      <c r="A23" s="44"/>
      <c r="B23" s="44" t="s">
        <v>86</v>
      </c>
      <c r="C23" s="47"/>
      <c r="D23" s="47"/>
      <c r="E23" s="11"/>
      <c r="F23" s="50"/>
      <c r="G23" s="47"/>
      <c r="H23" s="47"/>
      <c r="I23" s="47">
        <v>13555.8</v>
      </c>
      <c r="J23" s="47"/>
      <c r="K23" s="11"/>
      <c r="L23" s="47">
        <f t="shared" ref="L23:L24" si="1">I23*7/107</f>
        <v>886.8280374</v>
      </c>
      <c r="M23" s="3"/>
      <c r="N23" s="47" t="s">
        <v>50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4.75" customHeight="1">
      <c r="A24" s="44"/>
      <c r="B24" s="44" t="s">
        <v>89</v>
      </c>
      <c r="C24" s="47"/>
      <c r="D24" s="47"/>
      <c r="E24" s="11"/>
      <c r="F24" s="50"/>
      <c r="G24" s="47"/>
      <c r="H24" s="47"/>
      <c r="I24" s="47">
        <v>209.72</v>
      </c>
      <c r="J24" s="47"/>
      <c r="K24" s="11"/>
      <c r="L24" s="47">
        <f t="shared" si="1"/>
        <v>13.72</v>
      </c>
      <c r="M24" s="3"/>
      <c r="N24" s="47" t="s">
        <v>50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4.75" customHeight="1">
      <c r="A25" s="44"/>
      <c r="B25" s="44" t="s">
        <v>66</v>
      </c>
      <c r="C25" s="47">
        <v>80000.0</v>
      </c>
      <c r="D25" s="47">
        <f>C25*7/107</f>
        <v>5233.64486</v>
      </c>
      <c r="E25" s="11"/>
      <c r="F25" s="50"/>
      <c r="G25" s="47"/>
      <c r="H25" s="47"/>
      <c r="I25" s="47"/>
      <c r="J25" s="47"/>
      <c r="K25" s="11"/>
      <c r="L25" s="47"/>
      <c r="M25" s="3"/>
      <c r="N25" s="47" t="s">
        <v>68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4.75" customHeight="1">
      <c r="A26" s="83">
        <v>243989.0</v>
      </c>
      <c r="B26" s="44" t="s">
        <v>94</v>
      </c>
      <c r="C26" s="47"/>
      <c r="D26" s="47"/>
      <c r="E26" s="11"/>
      <c r="F26" s="50"/>
      <c r="G26" s="50">
        <v>64500.0</v>
      </c>
      <c r="H26" s="47"/>
      <c r="I26" s="47"/>
      <c r="J26" s="47"/>
      <c r="K26" s="11"/>
      <c r="L26" s="47"/>
      <c r="M26" s="3"/>
      <c r="N26" s="47" t="s">
        <v>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4.75" customHeight="1">
      <c r="A27" s="44"/>
      <c r="B27" s="44" t="s">
        <v>61</v>
      </c>
      <c r="C27" s="47"/>
      <c r="D27" s="47"/>
      <c r="E27" s="11"/>
      <c r="F27" s="50"/>
      <c r="G27" s="47"/>
      <c r="H27" s="47"/>
      <c r="I27" s="47"/>
      <c r="J27" s="50">
        <v>1000.0</v>
      </c>
      <c r="K27" s="11"/>
      <c r="L27" s="47"/>
      <c r="M27" s="3"/>
      <c r="N27" s="47" t="s">
        <v>58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4.75" customHeight="1">
      <c r="A28" s="44"/>
      <c r="B28" s="44" t="s">
        <v>66</v>
      </c>
      <c r="C28" s="47">
        <v>70000.0</v>
      </c>
      <c r="D28" s="47">
        <f>C28*7/107</f>
        <v>4579.439252</v>
      </c>
      <c r="E28" s="11"/>
      <c r="F28" s="50"/>
      <c r="G28" s="47"/>
      <c r="H28" s="47"/>
      <c r="I28" s="47"/>
      <c r="J28" s="47"/>
      <c r="K28" s="11"/>
      <c r="L28" s="47"/>
      <c r="M28" s="3"/>
      <c r="N28" s="47" t="s">
        <v>68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4.75" customHeight="1">
      <c r="A29" s="83">
        <v>243990.0</v>
      </c>
      <c r="B29" s="44" t="s">
        <v>69</v>
      </c>
      <c r="C29" s="47"/>
      <c r="D29" s="47"/>
      <c r="E29" s="11"/>
      <c r="F29" s="50">
        <v>5055.0</v>
      </c>
      <c r="G29" s="47"/>
      <c r="H29" s="47"/>
      <c r="I29" s="47"/>
      <c r="J29" s="47"/>
      <c r="K29" s="11"/>
      <c r="L29" s="47">
        <f>F29*7/107</f>
        <v>330.7009346</v>
      </c>
      <c r="M29" s="3"/>
      <c r="N29" s="47" t="s">
        <v>50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4.75" customHeight="1">
      <c r="A30" s="44"/>
      <c r="B30" s="44" t="s">
        <v>71</v>
      </c>
      <c r="C30" s="47"/>
      <c r="D30" s="47"/>
      <c r="E30" s="11"/>
      <c r="F30" s="50"/>
      <c r="G30" s="47"/>
      <c r="H30" s="47"/>
      <c r="I30" s="47"/>
      <c r="J30" s="50">
        <v>1300.0</v>
      </c>
      <c r="K30" s="11"/>
      <c r="L30" s="47"/>
      <c r="M30" s="3"/>
      <c r="N30" s="47" t="s">
        <v>58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4.75" customHeight="1">
      <c r="A31" s="44"/>
      <c r="B31" s="44" t="s">
        <v>66</v>
      </c>
      <c r="C31" s="47">
        <v>90000.0</v>
      </c>
      <c r="D31" s="47">
        <f>C31*7/107</f>
        <v>5887.850467</v>
      </c>
      <c r="E31" s="11"/>
      <c r="F31" s="50"/>
      <c r="G31" s="47"/>
      <c r="H31" s="47"/>
      <c r="I31" s="47"/>
      <c r="J31" s="47"/>
      <c r="K31" s="11"/>
      <c r="L31" s="47"/>
      <c r="M31" s="3"/>
      <c r="N31" s="47" t="s">
        <v>68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4.75" customHeight="1">
      <c r="A32" s="83">
        <v>243991.0</v>
      </c>
      <c r="B32" s="44" t="s">
        <v>75</v>
      </c>
      <c r="C32" s="47"/>
      <c r="D32" s="47"/>
      <c r="E32" s="11"/>
      <c r="F32" s="50">
        <v>4520.0</v>
      </c>
      <c r="G32" s="47"/>
      <c r="H32" s="47"/>
      <c r="I32" s="47"/>
      <c r="J32" s="47"/>
      <c r="K32" s="11"/>
      <c r="L32" s="47">
        <f>F32*7/107</f>
        <v>295.7009346</v>
      </c>
      <c r="M32" s="3"/>
      <c r="N32" s="47" t="s">
        <v>50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4.75" customHeight="1">
      <c r="A33" s="44"/>
      <c r="B33" s="44" t="s">
        <v>66</v>
      </c>
      <c r="C33" s="47">
        <v>60000.0</v>
      </c>
      <c r="D33" s="47">
        <f>C33*7/107</f>
        <v>3925.233645</v>
      </c>
      <c r="E33" s="11"/>
      <c r="F33" s="50"/>
      <c r="G33" s="47"/>
      <c r="H33" s="47"/>
      <c r="I33" s="47"/>
      <c r="J33" s="47"/>
      <c r="K33" s="11"/>
      <c r="L33" s="47"/>
      <c r="M33" s="3"/>
      <c r="N33" s="47" t="s">
        <v>68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4.75" customHeight="1">
      <c r="A34" s="83">
        <v>243992.0</v>
      </c>
      <c r="B34" s="44" t="s">
        <v>53</v>
      </c>
      <c r="C34" s="47"/>
      <c r="D34" s="47"/>
      <c r="E34" s="11"/>
      <c r="F34" s="50"/>
      <c r="G34" s="50">
        <v>45650.0</v>
      </c>
      <c r="H34" s="47"/>
      <c r="I34" s="47"/>
      <c r="J34" s="47"/>
      <c r="K34" s="11"/>
      <c r="L34" s="47"/>
      <c r="M34" s="3"/>
      <c r="N34" s="47" t="s">
        <v>55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4.75" customHeight="1">
      <c r="A35" s="44"/>
      <c r="B35" s="44" t="s">
        <v>66</v>
      </c>
      <c r="C35" s="47">
        <v>120000.0</v>
      </c>
      <c r="D35" s="47">
        <f>C35*7/107</f>
        <v>7850.46729</v>
      </c>
      <c r="E35" s="11"/>
      <c r="F35" s="50"/>
      <c r="G35" s="47"/>
      <c r="H35" s="47"/>
      <c r="I35" s="47"/>
      <c r="J35" s="47"/>
      <c r="K35" s="11"/>
      <c r="L35" s="47"/>
      <c r="M35" s="3"/>
      <c r="N35" s="47" t="s">
        <v>68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4.75" customHeight="1">
      <c r="A36" s="83">
        <v>243993.0</v>
      </c>
      <c r="B36" s="44" t="s">
        <v>43</v>
      </c>
      <c r="C36" s="47"/>
      <c r="D36" s="47"/>
      <c r="E36" s="11"/>
      <c r="F36" s="50">
        <v>13590.0</v>
      </c>
      <c r="G36" s="47"/>
      <c r="H36" s="47"/>
      <c r="I36" s="47"/>
      <c r="J36" s="47"/>
      <c r="K36" s="11"/>
      <c r="L36" s="47">
        <f>F36*7/107</f>
        <v>889.0654206</v>
      </c>
      <c r="M36" s="3"/>
      <c r="N36" s="47" t="s">
        <v>50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4.75" customHeight="1">
      <c r="A37" s="44"/>
      <c r="B37" s="44" t="s">
        <v>71</v>
      </c>
      <c r="C37" s="47"/>
      <c r="D37" s="47"/>
      <c r="E37" s="11"/>
      <c r="F37" s="50"/>
      <c r="G37" s="47"/>
      <c r="H37" s="47"/>
      <c r="I37" s="47"/>
      <c r="J37" s="50">
        <v>2000.0</v>
      </c>
      <c r="K37" s="11"/>
      <c r="L37" s="47"/>
      <c r="M37" s="3"/>
      <c r="N37" s="47" t="s">
        <v>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4.75" customHeight="1">
      <c r="A38" s="44"/>
      <c r="B38" s="44" t="s">
        <v>66</v>
      </c>
      <c r="C38" s="47">
        <v>150000.0</v>
      </c>
      <c r="D38" s="47">
        <f>C38*7/107</f>
        <v>9813.084112</v>
      </c>
      <c r="E38" s="11"/>
      <c r="F38" s="50"/>
      <c r="G38" s="47"/>
      <c r="H38" s="47"/>
      <c r="I38" s="47"/>
      <c r="J38" s="47"/>
      <c r="K38" s="11"/>
      <c r="L38" s="47"/>
      <c r="M38" s="3"/>
      <c r="N38" s="47" t="s">
        <v>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4.75" customHeight="1">
      <c r="A39" s="83">
        <v>243994.0</v>
      </c>
      <c r="B39" s="44" t="s">
        <v>75</v>
      </c>
      <c r="C39" s="47"/>
      <c r="D39" s="47"/>
      <c r="E39" s="11"/>
      <c r="F39" s="50">
        <v>8340.0</v>
      </c>
      <c r="G39" s="47"/>
      <c r="H39" s="47"/>
      <c r="I39" s="47"/>
      <c r="J39" s="47"/>
      <c r="K39" s="11"/>
      <c r="L39" s="47">
        <f>F39*7/107</f>
        <v>545.6074766</v>
      </c>
      <c r="M39" s="3"/>
      <c r="N39" s="47" t="s">
        <v>50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4.75" customHeight="1">
      <c r="A40" s="44"/>
      <c r="B40" s="44" t="s">
        <v>66</v>
      </c>
      <c r="C40" s="47">
        <v>180000.0</v>
      </c>
      <c r="D40" s="47">
        <f>C40*7/107</f>
        <v>11775.70093</v>
      </c>
      <c r="E40" s="11"/>
      <c r="F40" s="50"/>
      <c r="G40" s="47"/>
      <c r="H40" s="47"/>
      <c r="I40" s="47"/>
      <c r="J40" s="47"/>
      <c r="K40" s="11"/>
      <c r="L40" s="47"/>
      <c r="M40" s="3"/>
      <c r="N40" s="47" t="s">
        <v>68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4.75" customHeight="1">
      <c r="A41" s="83">
        <v>243995.0</v>
      </c>
      <c r="B41" s="44" t="s">
        <v>69</v>
      </c>
      <c r="C41" s="47"/>
      <c r="D41" s="47"/>
      <c r="E41" s="11"/>
      <c r="F41" s="50">
        <v>6070.0</v>
      </c>
      <c r="G41" s="47"/>
      <c r="H41" s="47"/>
      <c r="I41" s="47"/>
      <c r="J41" s="47"/>
      <c r="K41" s="11"/>
      <c r="L41" s="47">
        <f>F41*7/107</f>
        <v>397.1028037</v>
      </c>
      <c r="M41" s="3"/>
      <c r="N41" s="47" t="s">
        <v>50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4.75" customHeight="1">
      <c r="A42" s="44"/>
      <c r="B42" s="44" t="s">
        <v>71</v>
      </c>
      <c r="C42" s="47"/>
      <c r="D42" s="47"/>
      <c r="E42" s="11"/>
      <c r="F42" s="50"/>
      <c r="G42" s="47"/>
      <c r="H42" s="47"/>
      <c r="I42" s="47"/>
      <c r="J42" s="50">
        <v>2000.0</v>
      </c>
      <c r="K42" s="11"/>
      <c r="L42" s="47"/>
      <c r="M42" s="3"/>
      <c r="N42" s="47" t="s">
        <v>58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4.75" customHeight="1">
      <c r="A43" s="44"/>
      <c r="B43" s="44" t="s">
        <v>66</v>
      </c>
      <c r="C43" s="47">
        <v>80000.0</v>
      </c>
      <c r="D43" s="47">
        <f>C43*7/107</f>
        <v>5233.64486</v>
      </c>
      <c r="E43" s="11"/>
      <c r="F43" s="50"/>
      <c r="G43" s="47"/>
      <c r="H43" s="47"/>
      <c r="I43" s="47"/>
      <c r="J43" s="47"/>
      <c r="K43" s="11"/>
      <c r="L43" s="47"/>
      <c r="M43" s="3"/>
      <c r="N43" s="47" t="s">
        <v>68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4.75" customHeight="1">
      <c r="A44" s="83">
        <v>243996.0</v>
      </c>
      <c r="B44" s="44" t="s">
        <v>56</v>
      </c>
      <c r="C44" s="47"/>
      <c r="D44" s="47"/>
      <c r="E44" s="11"/>
      <c r="F44" s="50"/>
      <c r="G44" s="50">
        <v>2775.0</v>
      </c>
      <c r="H44" s="47"/>
      <c r="I44" s="47"/>
      <c r="J44" s="47"/>
      <c r="K44" s="11"/>
      <c r="L44" s="47"/>
      <c r="M44" s="3"/>
      <c r="N44" s="47" t="s">
        <v>58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4.75" customHeight="1">
      <c r="A45" s="44"/>
      <c r="B45" s="44" t="s">
        <v>66</v>
      </c>
      <c r="C45" s="47">
        <v>70000.0</v>
      </c>
      <c r="D45" s="47">
        <f>C45*7/107</f>
        <v>4579.439252</v>
      </c>
      <c r="E45" s="11"/>
      <c r="F45" s="50"/>
      <c r="G45" s="47"/>
      <c r="H45" s="47"/>
      <c r="I45" s="47"/>
      <c r="J45" s="47"/>
      <c r="K45" s="11"/>
      <c r="L45" s="47"/>
      <c r="M45" s="3"/>
      <c r="N45" s="47" t="s">
        <v>68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4.75" customHeight="1">
      <c r="A46" s="83">
        <v>243997.0</v>
      </c>
      <c r="B46" s="44" t="s">
        <v>53</v>
      </c>
      <c r="C46" s="47"/>
      <c r="D46" s="47"/>
      <c r="E46" s="11"/>
      <c r="F46" s="50"/>
      <c r="G46" s="50">
        <v>224500.0</v>
      </c>
      <c r="H46" s="47"/>
      <c r="I46" s="47"/>
      <c r="J46" s="47"/>
      <c r="K46" s="11"/>
      <c r="L46" s="47"/>
      <c r="M46" s="3"/>
      <c r="N46" s="47" t="s">
        <v>55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4.75" customHeight="1">
      <c r="A47" s="44"/>
      <c r="B47" s="44" t="s">
        <v>66</v>
      </c>
      <c r="C47" s="47">
        <v>90000.0</v>
      </c>
      <c r="D47" s="47">
        <f>C47*7/107</f>
        <v>5887.850467</v>
      </c>
      <c r="E47" s="11"/>
      <c r="F47" s="50"/>
      <c r="G47" s="47"/>
      <c r="H47" s="47"/>
      <c r="I47" s="47"/>
      <c r="J47" s="47"/>
      <c r="K47" s="11"/>
      <c r="L47" s="47"/>
      <c r="M47" s="3"/>
      <c r="N47" s="47" t="s">
        <v>68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4.75" customHeight="1">
      <c r="A48" s="83">
        <v>243998.0</v>
      </c>
      <c r="B48" s="44" t="s">
        <v>43</v>
      </c>
      <c r="C48" s="47"/>
      <c r="D48" s="47"/>
      <c r="E48" s="11"/>
      <c r="F48" s="50">
        <v>133420.0</v>
      </c>
      <c r="G48" s="47"/>
      <c r="H48" s="47"/>
      <c r="I48" s="47"/>
      <c r="J48" s="47"/>
      <c r="K48" s="11"/>
      <c r="L48" s="47">
        <f>F48*7/107</f>
        <v>8728.411215</v>
      </c>
      <c r="M48" s="3"/>
      <c r="N48" s="47" t="s">
        <v>50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4.75" customHeight="1">
      <c r="A49" s="83"/>
      <c r="B49" s="44" t="s">
        <v>119</v>
      </c>
      <c r="C49" s="47"/>
      <c r="D49" s="47"/>
      <c r="E49" s="11"/>
      <c r="F49" s="47"/>
      <c r="G49" s="47"/>
      <c r="H49" s="47"/>
      <c r="I49" s="47"/>
      <c r="J49" s="47">
        <v>50000.0</v>
      </c>
      <c r="K49" s="11"/>
      <c r="L49" s="47"/>
      <c r="M49" s="3"/>
      <c r="N49" s="47" t="s">
        <v>55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4.75" customHeight="1">
      <c r="A50" s="37"/>
      <c r="B50" s="44" t="s">
        <v>122</v>
      </c>
      <c r="C50" s="47"/>
      <c r="D50" s="47"/>
      <c r="E50" s="11"/>
      <c r="F50" s="47"/>
      <c r="G50" s="47"/>
      <c r="H50" s="47"/>
      <c r="I50" s="50"/>
      <c r="J50" s="47">
        <v>12000.0</v>
      </c>
      <c r="K50" s="11"/>
      <c r="L50" s="47"/>
      <c r="M50" s="3"/>
      <c r="N50" s="47" t="s">
        <v>50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4.75" customHeight="1">
      <c r="A51" s="44"/>
      <c r="B51" s="44" t="s">
        <v>66</v>
      </c>
      <c r="C51" s="47">
        <v>60000.0</v>
      </c>
      <c r="D51" s="47">
        <f>C51*7/107</f>
        <v>3925.233645</v>
      </c>
      <c r="E51" s="11"/>
      <c r="F51" s="47"/>
      <c r="G51" s="47"/>
      <c r="H51" s="47"/>
      <c r="I51" s="47"/>
      <c r="J51" s="47"/>
      <c r="K51" s="11"/>
      <c r="L51" s="47"/>
      <c r="M51" s="3"/>
      <c r="N51" s="47" t="s">
        <v>68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24.75" customHeight="1">
      <c r="A52" s="83">
        <v>243999.0</v>
      </c>
      <c r="B52" s="44" t="s">
        <v>75</v>
      </c>
      <c r="C52" s="47"/>
      <c r="D52" s="47"/>
      <c r="E52" s="11"/>
      <c r="F52" s="50">
        <v>22150.0</v>
      </c>
      <c r="G52" s="47"/>
      <c r="H52" s="47"/>
      <c r="I52" s="47"/>
      <c r="J52" s="47"/>
      <c r="K52" s="11"/>
      <c r="L52" s="47">
        <f>F52*7/107</f>
        <v>1449.065421</v>
      </c>
      <c r="M52" s="3"/>
      <c r="N52" s="47" t="s">
        <v>50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4.75" customHeight="1">
      <c r="A53" s="44"/>
      <c r="B53" s="44" t="s">
        <v>66</v>
      </c>
      <c r="C53" s="47">
        <v>120000.0</v>
      </c>
      <c r="D53" s="47">
        <f>C53*7/107</f>
        <v>7850.46729</v>
      </c>
      <c r="E53" s="11"/>
      <c r="F53" s="50"/>
      <c r="G53" s="47"/>
      <c r="H53" s="47"/>
      <c r="I53" s="47"/>
      <c r="J53" s="47"/>
      <c r="K53" s="11"/>
      <c r="L53" s="47"/>
      <c r="M53" s="3"/>
      <c r="N53" s="47" t="s">
        <v>68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24.75" customHeight="1">
      <c r="A54" s="83">
        <v>244000.0</v>
      </c>
      <c r="B54" s="44" t="s">
        <v>124</v>
      </c>
      <c r="C54" s="47"/>
      <c r="D54" s="47"/>
      <c r="E54" s="11"/>
      <c r="F54" s="50"/>
      <c r="G54" s="50">
        <v>85650.0</v>
      </c>
      <c r="H54" s="47"/>
      <c r="I54" s="47"/>
      <c r="J54" s="47"/>
      <c r="K54" s="11"/>
      <c r="L54" s="47"/>
      <c r="M54" s="3"/>
      <c r="N54" s="47" t="s">
        <v>55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24.75" customHeight="1">
      <c r="A55" s="44"/>
      <c r="B55" s="44" t="s">
        <v>66</v>
      </c>
      <c r="C55" s="47">
        <v>150000.0</v>
      </c>
      <c r="D55" s="47">
        <f>C55*7/107</f>
        <v>9813.084112</v>
      </c>
      <c r="E55" s="11"/>
      <c r="F55" s="50"/>
      <c r="G55" s="47"/>
      <c r="H55" s="47"/>
      <c r="I55" s="47"/>
      <c r="J55" s="47"/>
      <c r="K55" s="11"/>
      <c r="L55" s="47"/>
      <c r="M55" s="3"/>
      <c r="N55" s="47" t="s">
        <v>68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24.75" customHeight="1">
      <c r="A56" s="83">
        <v>244001.0</v>
      </c>
      <c r="B56" s="44" t="s">
        <v>43</v>
      </c>
      <c r="C56" s="47"/>
      <c r="D56" s="47"/>
      <c r="E56" s="11"/>
      <c r="F56" s="50">
        <v>181250.0</v>
      </c>
      <c r="G56" s="47"/>
      <c r="H56" s="47"/>
      <c r="I56" s="47"/>
      <c r="J56" s="47"/>
      <c r="K56" s="11"/>
      <c r="L56" s="47">
        <f>F56*7/107</f>
        <v>11857.47664</v>
      </c>
      <c r="M56" s="3"/>
      <c r="N56" s="47" t="s">
        <v>50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24.75" customHeight="1">
      <c r="A57" s="44"/>
      <c r="B57" s="44" t="s">
        <v>71</v>
      </c>
      <c r="C57" s="47"/>
      <c r="D57" s="47"/>
      <c r="E57" s="11"/>
      <c r="F57" s="50"/>
      <c r="G57" s="47"/>
      <c r="H57" s="47"/>
      <c r="I57" s="47"/>
      <c r="J57" s="50">
        <v>1500.0</v>
      </c>
      <c r="K57" s="11"/>
      <c r="L57" s="47"/>
      <c r="M57" s="3"/>
      <c r="N57" s="47" t="s">
        <v>58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24.75" customHeight="1">
      <c r="A58" s="44"/>
      <c r="B58" s="44" t="s">
        <v>66</v>
      </c>
      <c r="C58" s="47">
        <v>180000.0</v>
      </c>
      <c r="D58" s="47">
        <f>C58*7/107</f>
        <v>11775.70093</v>
      </c>
      <c r="E58" s="11"/>
      <c r="F58" s="50"/>
      <c r="G58" s="47"/>
      <c r="H58" s="47"/>
      <c r="I58" s="47"/>
      <c r="J58" s="47"/>
      <c r="K58" s="11"/>
      <c r="L58" s="47"/>
      <c r="M58" s="3"/>
      <c r="N58" s="47" t="s">
        <v>68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24.75" customHeight="1">
      <c r="A59" s="83">
        <v>244002.0</v>
      </c>
      <c r="B59" s="44" t="s">
        <v>69</v>
      </c>
      <c r="C59" s="47"/>
      <c r="D59" s="47"/>
      <c r="E59" s="11"/>
      <c r="F59" s="50">
        <v>36200.0</v>
      </c>
      <c r="G59" s="47"/>
      <c r="H59" s="47"/>
      <c r="I59" s="47"/>
      <c r="J59" s="47"/>
      <c r="K59" s="11"/>
      <c r="L59" s="47">
        <f>F59*7/107</f>
        <v>2368.224299</v>
      </c>
      <c r="M59" s="3"/>
      <c r="N59" s="47" t="s">
        <v>50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24.75" customHeight="1">
      <c r="A60" s="44"/>
      <c r="B60" s="44" t="s">
        <v>66</v>
      </c>
      <c r="C60" s="47">
        <v>80000.0</v>
      </c>
      <c r="D60" s="47">
        <f>C60*7/107</f>
        <v>5233.64486</v>
      </c>
      <c r="E60" s="11"/>
      <c r="F60" s="50"/>
      <c r="G60" s="47"/>
      <c r="H60" s="47"/>
      <c r="I60" s="47"/>
      <c r="J60" s="47"/>
      <c r="K60" s="11"/>
      <c r="L60" s="47"/>
      <c r="M60" s="3"/>
      <c r="N60" s="47" t="s">
        <v>68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24.75" customHeight="1">
      <c r="A61" s="83">
        <v>244003.0</v>
      </c>
      <c r="B61" s="44" t="s">
        <v>56</v>
      </c>
      <c r="C61" s="47"/>
      <c r="D61" s="47"/>
      <c r="E61" s="11"/>
      <c r="F61" s="50"/>
      <c r="G61" s="50">
        <v>14500.0</v>
      </c>
      <c r="H61" s="47"/>
      <c r="I61" s="47"/>
      <c r="J61" s="47"/>
      <c r="K61" s="11"/>
      <c r="L61" s="47"/>
      <c r="M61" s="3"/>
      <c r="N61" s="47" t="s">
        <v>58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24.75" customHeight="1">
      <c r="A62" s="44"/>
      <c r="B62" s="44" t="s">
        <v>66</v>
      </c>
      <c r="C62" s="47">
        <v>70000.0</v>
      </c>
      <c r="D62" s="47">
        <f>C62*7/107</f>
        <v>4579.439252</v>
      </c>
      <c r="E62" s="11"/>
      <c r="F62" s="50"/>
      <c r="G62" s="47"/>
      <c r="H62" s="47"/>
      <c r="I62" s="47"/>
      <c r="J62" s="47"/>
      <c r="K62" s="11"/>
      <c r="L62" s="47"/>
      <c r="M62" s="3"/>
      <c r="N62" s="47" t="s">
        <v>68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24.75" customHeight="1">
      <c r="A63" s="83">
        <v>244004.0</v>
      </c>
      <c r="B63" s="44" t="s">
        <v>71</v>
      </c>
      <c r="C63" s="47"/>
      <c r="D63" s="47"/>
      <c r="E63" s="11"/>
      <c r="F63" s="50"/>
      <c r="G63" s="47"/>
      <c r="H63" s="47"/>
      <c r="I63" s="47"/>
      <c r="J63" s="50">
        <v>2200.0</v>
      </c>
      <c r="K63" s="11"/>
      <c r="L63" s="47"/>
      <c r="M63" s="3"/>
      <c r="N63" s="47" t="s">
        <v>58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24.75" customHeight="1">
      <c r="A64" s="44"/>
      <c r="B64" s="44" t="s">
        <v>66</v>
      </c>
      <c r="C64" s="47">
        <v>90000.0</v>
      </c>
      <c r="D64" s="47">
        <f>C64*7/107</f>
        <v>5887.850467</v>
      </c>
      <c r="E64" s="11"/>
      <c r="F64" s="50"/>
      <c r="G64" s="47"/>
      <c r="H64" s="47"/>
      <c r="I64" s="47"/>
      <c r="J64" s="47"/>
      <c r="K64" s="11"/>
      <c r="L64" s="47"/>
      <c r="M64" s="3"/>
      <c r="N64" s="47" t="s">
        <v>68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24.75" customHeight="1">
      <c r="A65" s="83">
        <v>244005.0</v>
      </c>
      <c r="B65" s="44" t="s">
        <v>75</v>
      </c>
      <c r="C65" s="47"/>
      <c r="D65" s="47"/>
      <c r="E65" s="11"/>
      <c r="F65" s="50">
        <v>45500.0</v>
      </c>
      <c r="G65" s="47"/>
      <c r="H65" s="47"/>
      <c r="I65" s="47"/>
      <c r="J65" s="47"/>
      <c r="K65" s="11"/>
      <c r="L65" s="47">
        <f>F65*7/107</f>
        <v>2976.635514</v>
      </c>
      <c r="M65" s="3"/>
      <c r="N65" s="47" t="s">
        <v>50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24.75" customHeight="1">
      <c r="A66" s="44"/>
      <c r="B66" s="44" t="s">
        <v>66</v>
      </c>
      <c r="C66" s="47">
        <v>60000.0</v>
      </c>
      <c r="D66" s="47">
        <f>C66*7/107</f>
        <v>3925.233645</v>
      </c>
      <c r="E66" s="11"/>
      <c r="F66" s="50"/>
      <c r="G66" s="47"/>
      <c r="H66" s="47"/>
      <c r="I66" s="47"/>
      <c r="J66" s="47"/>
      <c r="K66" s="11"/>
      <c r="L66" s="47"/>
      <c r="M66" s="3"/>
      <c r="N66" s="47" t="s">
        <v>68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24.75" customHeight="1">
      <c r="A67" s="83">
        <v>244006.0</v>
      </c>
      <c r="B67" s="44" t="s">
        <v>124</v>
      </c>
      <c r="C67" s="47"/>
      <c r="D67" s="47"/>
      <c r="E67" s="11"/>
      <c r="F67" s="50"/>
      <c r="G67" s="50">
        <v>298000.0</v>
      </c>
      <c r="H67" s="47"/>
      <c r="I67" s="47"/>
      <c r="J67" s="47"/>
      <c r="K67" s="11"/>
      <c r="L67" s="47"/>
      <c r="M67" s="3"/>
      <c r="N67" s="47" t="s">
        <v>55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24.75" customHeight="1">
      <c r="A68" s="44"/>
      <c r="B68" s="44" t="s">
        <v>66</v>
      </c>
      <c r="C68" s="47">
        <v>120000.0</v>
      </c>
      <c r="D68" s="47">
        <f>C68*7/107</f>
        <v>7850.46729</v>
      </c>
      <c r="E68" s="11"/>
      <c r="F68" s="50"/>
      <c r="G68" s="47"/>
      <c r="H68" s="47"/>
      <c r="I68" s="47"/>
      <c r="J68" s="47"/>
      <c r="K68" s="11"/>
      <c r="L68" s="47"/>
      <c r="M68" s="3"/>
      <c r="N68" s="47" t="s">
        <v>68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24.75" customHeight="1">
      <c r="A69" s="83">
        <v>244007.0</v>
      </c>
      <c r="B69" s="44" t="s">
        <v>56</v>
      </c>
      <c r="C69" s="47"/>
      <c r="D69" s="47"/>
      <c r="E69" s="11"/>
      <c r="F69" s="50"/>
      <c r="G69" s="50">
        <v>4200.0</v>
      </c>
      <c r="H69" s="47"/>
      <c r="I69" s="47"/>
      <c r="J69" s="47"/>
      <c r="K69" s="11"/>
      <c r="L69" s="47"/>
      <c r="M69" s="3"/>
      <c r="N69" s="47" t="s">
        <v>58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24.75" customHeight="1">
      <c r="A70" s="44"/>
      <c r="B70" s="44" t="s">
        <v>66</v>
      </c>
      <c r="C70" s="47">
        <v>150000.0</v>
      </c>
      <c r="D70" s="47">
        <f>C70*7/107</f>
        <v>9813.084112</v>
      </c>
      <c r="E70" s="11"/>
      <c r="F70" s="50"/>
      <c r="G70" s="47"/>
      <c r="H70" s="47"/>
      <c r="I70" s="47"/>
      <c r="J70" s="47"/>
      <c r="K70" s="11"/>
      <c r="L70" s="47"/>
      <c r="M70" s="3"/>
      <c r="N70" s="47" t="s">
        <v>68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24.75" customHeight="1">
      <c r="A71" s="83">
        <v>244008.0</v>
      </c>
      <c r="B71" s="44" t="s">
        <v>43</v>
      </c>
      <c r="C71" s="47"/>
      <c r="D71" s="47"/>
      <c r="E71" s="11"/>
      <c r="F71" s="50">
        <v>257500.0</v>
      </c>
      <c r="G71" s="47"/>
      <c r="H71" s="47"/>
      <c r="I71" s="47"/>
      <c r="J71" s="47"/>
      <c r="K71" s="11"/>
      <c r="L71" s="47">
        <f>F71*7/107</f>
        <v>16845.79439</v>
      </c>
      <c r="M71" s="3"/>
      <c r="N71" s="47" t="s">
        <v>50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24.75" customHeight="1">
      <c r="A72" s="44"/>
      <c r="B72" s="44" t="s">
        <v>61</v>
      </c>
      <c r="C72" s="47"/>
      <c r="D72" s="47"/>
      <c r="E72" s="11"/>
      <c r="F72" s="50"/>
      <c r="G72" s="47"/>
      <c r="H72" s="47"/>
      <c r="I72" s="47"/>
      <c r="J72" s="50">
        <v>2100.0</v>
      </c>
      <c r="K72" s="11"/>
      <c r="L72" s="47"/>
      <c r="M72" s="3"/>
      <c r="N72" s="47" t="s">
        <v>58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24.75" customHeight="1">
      <c r="A73" s="44"/>
      <c r="B73" s="44" t="s">
        <v>66</v>
      </c>
      <c r="C73" s="47">
        <v>180000.0</v>
      </c>
      <c r="D73" s="47">
        <f>C73*7/107</f>
        <v>11775.70093</v>
      </c>
      <c r="E73" s="11"/>
      <c r="F73" s="50"/>
      <c r="G73" s="47"/>
      <c r="H73" s="47"/>
      <c r="I73" s="47"/>
      <c r="J73" s="47"/>
      <c r="K73" s="11"/>
      <c r="L73" s="47"/>
      <c r="M73" s="3"/>
      <c r="N73" s="47" t="s">
        <v>68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24.75" customHeight="1">
      <c r="A74" s="83">
        <v>244009.0</v>
      </c>
      <c r="B74" s="44" t="s">
        <v>75</v>
      </c>
      <c r="C74" s="47"/>
      <c r="D74" s="47"/>
      <c r="E74" s="11"/>
      <c r="F74" s="50">
        <v>27980.0</v>
      </c>
      <c r="G74" s="47"/>
      <c r="H74" s="47"/>
      <c r="I74" s="47"/>
      <c r="J74" s="47"/>
      <c r="K74" s="11"/>
      <c r="L74" s="47">
        <f>F74*7/107</f>
        <v>1830.46729</v>
      </c>
      <c r="M74" s="3"/>
      <c r="N74" s="47" t="s">
        <v>50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24.75" customHeight="1">
      <c r="A75" s="44"/>
      <c r="B75" s="44" t="s">
        <v>71</v>
      </c>
      <c r="C75" s="47"/>
      <c r="D75" s="47"/>
      <c r="E75" s="11"/>
      <c r="F75" s="50"/>
      <c r="G75" s="47"/>
      <c r="H75" s="47"/>
      <c r="I75" s="47"/>
      <c r="J75" s="50">
        <v>1900.0</v>
      </c>
      <c r="K75" s="11"/>
      <c r="L75" s="47"/>
      <c r="M75" s="3"/>
      <c r="N75" s="47" t="s">
        <v>58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24.75" customHeight="1">
      <c r="A76" s="44"/>
      <c r="B76" s="44" t="s">
        <v>66</v>
      </c>
      <c r="C76" s="47">
        <v>80000.0</v>
      </c>
      <c r="D76" s="47">
        <f>C76*7/107</f>
        <v>5233.64486</v>
      </c>
      <c r="E76" s="11"/>
      <c r="F76" s="50"/>
      <c r="G76" s="47"/>
      <c r="H76" s="47"/>
      <c r="I76" s="47"/>
      <c r="J76" s="47"/>
      <c r="K76" s="11"/>
      <c r="L76" s="47"/>
      <c r="M76" s="3"/>
      <c r="N76" s="47" t="s">
        <v>68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24.75" customHeight="1">
      <c r="A77" s="83">
        <v>244010.0</v>
      </c>
      <c r="B77" s="44" t="s">
        <v>69</v>
      </c>
      <c r="C77" s="47"/>
      <c r="D77" s="47"/>
      <c r="E77" s="11"/>
      <c r="F77" s="50">
        <v>19680.0</v>
      </c>
      <c r="G77" s="47"/>
      <c r="H77" s="47"/>
      <c r="I77" s="47"/>
      <c r="J77" s="47"/>
      <c r="K77" s="11"/>
      <c r="L77" s="47">
        <f>F77*7/107</f>
        <v>1287.476636</v>
      </c>
      <c r="M77" s="3"/>
      <c r="N77" s="47" t="s">
        <v>50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24.75" customHeight="1">
      <c r="A78" s="44"/>
      <c r="B78" s="44" t="s">
        <v>66</v>
      </c>
      <c r="C78" s="47">
        <v>70000.0</v>
      </c>
      <c r="D78" s="47">
        <f>C78*7/107</f>
        <v>4579.439252</v>
      </c>
      <c r="E78" s="11"/>
      <c r="F78" s="50"/>
      <c r="G78" s="47"/>
      <c r="H78" s="47"/>
      <c r="I78" s="47"/>
      <c r="J78" s="47"/>
      <c r="K78" s="11"/>
      <c r="L78" s="47"/>
      <c r="M78" s="3"/>
      <c r="N78" s="47" t="s">
        <v>68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24.75" customHeight="1">
      <c r="A79" s="83">
        <v>244011.0</v>
      </c>
      <c r="B79" s="44" t="s">
        <v>56</v>
      </c>
      <c r="C79" s="47"/>
      <c r="D79" s="47"/>
      <c r="E79" s="11"/>
      <c r="F79" s="50"/>
      <c r="G79" s="50">
        <v>9420.0</v>
      </c>
      <c r="H79" s="47"/>
      <c r="I79" s="47"/>
      <c r="J79" s="47"/>
      <c r="K79" s="11"/>
      <c r="L79" s="47"/>
      <c r="M79" s="3"/>
      <c r="N79" s="47" t="s">
        <v>58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24.75" customHeight="1">
      <c r="A80" s="44"/>
      <c r="B80" s="44" t="s">
        <v>66</v>
      </c>
      <c r="C80" s="47">
        <v>90000.0</v>
      </c>
      <c r="D80" s="47">
        <f>C80*7/107</f>
        <v>5887.850467</v>
      </c>
      <c r="E80" s="11"/>
      <c r="F80" s="50"/>
      <c r="G80" s="47"/>
      <c r="H80" s="47"/>
      <c r="I80" s="47"/>
      <c r="J80" s="47"/>
      <c r="K80" s="11"/>
      <c r="L80" s="47"/>
      <c r="M80" s="3"/>
      <c r="N80" s="47" t="s">
        <v>68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24.75" customHeight="1">
      <c r="A81" s="83">
        <v>244012.0</v>
      </c>
      <c r="B81" s="44" t="s">
        <v>43</v>
      </c>
      <c r="C81" s="47"/>
      <c r="D81" s="47"/>
      <c r="E81" s="11"/>
      <c r="F81" s="47">
        <v>364300.0</v>
      </c>
      <c r="G81" s="47"/>
      <c r="H81" s="47"/>
      <c r="I81" s="47"/>
      <c r="J81" s="47"/>
      <c r="K81" s="11"/>
      <c r="L81" s="47">
        <f>F81*7/107</f>
        <v>23832.71028</v>
      </c>
      <c r="M81" s="3"/>
      <c r="N81" s="47" t="s">
        <v>50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24.75" customHeight="1">
      <c r="A82" s="44"/>
      <c r="B82" s="44" t="s">
        <v>124</v>
      </c>
      <c r="C82" s="47"/>
      <c r="D82" s="47"/>
      <c r="E82" s="11"/>
      <c r="F82" s="50"/>
      <c r="G82" s="50">
        <v>132200.0</v>
      </c>
      <c r="H82" s="47"/>
      <c r="I82" s="47"/>
      <c r="J82" s="47"/>
      <c r="K82" s="11"/>
      <c r="L82" s="47"/>
      <c r="M82" s="3"/>
      <c r="N82" s="47" t="s">
        <v>55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24.75" customHeight="1">
      <c r="A83" s="44"/>
      <c r="B83" s="44" t="s">
        <v>66</v>
      </c>
      <c r="C83" s="47">
        <v>60000.0</v>
      </c>
      <c r="D83" s="47">
        <f>C83*7/107</f>
        <v>3925.233645</v>
      </c>
      <c r="E83" s="11"/>
      <c r="F83" s="50"/>
      <c r="G83" s="47"/>
      <c r="H83" s="47"/>
      <c r="I83" s="47"/>
      <c r="J83" s="47"/>
      <c r="K83" s="11"/>
      <c r="L83" s="47"/>
      <c r="M83" s="3"/>
      <c r="N83" s="47" t="s">
        <v>68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24.75" customHeight="1">
      <c r="A84" s="83">
        <v>244013.0</v>
      </c>
      <c r="B84" s="44" t="s">
        <v>71</v>
      </c>
      <c r="C84" s="47"/>
      <c r="D84" s="47"/>
      <c r="E84" s="11"/>
      <c r="F84" s="50"/>
      <c r="G84" s="47"/>
      <c r="H84" s="47"/>
      <c r="I84" s="47"/>
      <c r="J84" s="50">
        <v>1500.0</v>
      </c>
      <c r="K84" s="11"/>
      <c r="L84" s="47"/>
      <c r="M84" s="3"/>
      <c r="N84" s="47" t="s">
        <v>58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24.75" customHeight="1">
      <c r="A85" s="44"/>
      <c r="B85" s="44" t="s">
        <v>66</v>
      </c>
      <c r="C85" s="47">
        <v>120000.0</v>
      </c>
      <c r="D85" s="47">
        <f>C85*7/107</f>
        <v>7850.46729</v>
      </c>
      <c r="E85" s="11"/>
      <c r="F85" s="47"/>
      <c r="G85" s="47"/>
      <c r="H85" s="47"/>
      <c r="I85" s="47"/>
      <c r="J85" s="50"/>
      <c r="K85" s="11"/>
      <c r="L85" s="47"/>
      <c r="M85" s="3"/>
      <c r="N85" s="47" t="s">
        <v>68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24.75" customHeight="1">
      <c r="A86" s="83">
        <v>244014.0</v>
      </c>
      <c r="B86" s="44" t="s">
        <v>124</v>
      </c>
      <c r="C86" s="47"/>
      <c r="D86" s="47"/>
      <c r="E86" s="11"/>
      <c r="F86" s="47"/>
      <c r="G86" s="47">
        <v>267500.0</v>
      </c>
      <c r="H86" s="47"/>
      <c r="I86" s="47"/>
      <c r="J86" s="47"/>
      <c r="K86" s="11"/>
      <c r="L86" s="47"/>
      <c r="M86" s="3"/>
      <c r="N86" s="47" t="s">
        <v>55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24.75" customHeight="1">
      <c r="A87" s="37"/>
      <c r="B87" s="44" t="s">
        <v>43</v>
      </c>
      <c r="C87" s="47"/>
      <c r="D87" s="47"/>
      <c r="E87" s="11"/>
      <c r="F87" s="47">
        <v>156400.0</v>
      </c>
      <c r="G87" s="47"/>
      <c r="H87" s="47"/>
      <c r="I87" s="50"/>
      <c r="J87" s="47"/>
      <c r="K87" s="11"/>
      <c r="L87" s="47">
        <f>F87*7/107</f>
        <v>10231.7757</v>
      </c>
      <c r="M87" s="3"/>
      <c r="N87" s="47" t="s">
        <v>50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24.75" customHeight="1">
      <c r="A88" s="37"/>
      <c r="B88" s="44" t="s">
        <v>66</v>
      </c>
      <c r="C88" s="47">
        <v>150000.0</v>
      </c>
      <c r="D88" s="47">
        <f>C88*7/107</f>
        <v>9813.084112</v>
      </c>
      <c r="E88" s="11"/>
      <c r="F88" s="47"/>
      <c r="G88" s="47"/>
      <c r="H88" s="47"/>
      <c r="I88" s="47"/>
      <c r="J88" s="47"/>
      <c r="K88" s="11"/>
      <c r="L88" s="47"/>
      <c r="M88" s="3"/>
      <c r="N88" s="47" t="s">
        <v>68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24.75" customHeight="1">
      <c r="A89" s="44"/>
      <c r="B89" s="44"/>
      <c r="C89" s="31">
        <f t="shared" ref="C89:D89" si="2">SUM(C7:C88)</f>
        <v>3500000</v>
      </c>
      <c r="D89" s="31">
        <f t="shared" si="2"/>
        <v>228971.9626</v>
      </c>
      <c r="E89" s="11"/>
      <c r="F89" s="31">
        <f t="shared" ref="F89:J89" si="3">SUM(F7:F88)</f>
        <v>1725975</v>
      </c>
      <c r="G89" s="31">
        <f t="shared" si="3"/>
        <v>1276795</v>
      </c>
      <c r="H89" s="31">
        <f t="shared" si="3"/>
        <v>150000</v>
      </c>
      <c r="I89" s="31">
        <f t="shared" si="3"/>
        <v>13765.52</v>
      </c>
      <c r="J89" s="31">
        <f t="shared" si="3"/>
        <v>83100</v>
      </c>
      <c r="K89" s="11"/>
      <c r="L89" s="31">
        <f>SUM(L7:L88)</f>
        <v>113814.8004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24.75" customHeight="1">
      <c r="A90" s="3"/>
      <c r="B90" s="3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24.75" customHeight="1">
      <c r="A91" s="130" t="s">
        <v>129</v>
      </c>
      <c r="B91" s="131" t="s">
        <v>130</v>
      </c>
      <c r="C91" s="132"/>
      <c r="D91" s="132"/>
      <c r="E91" s="132"/>
      <c r="F91" s="132"/>
      <c r="G91" s="132"/>
      <c r="H91" s="132"/>
      <c r="I91" s="132"/>
      <c r="J91" s="133"/>
      <c r="K91" s="132"/>
      <c r="L91" s="132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</row>
    <row r="92" ht="24.75" customHeight="1">
      <c r="A92" s="134"/>
      <c r="B92" s="131" t="s">
        <v>131</v>
      </c>
      <c r="C92" s="132"/>
      <c r="D92" s="135">
        <f>C89</f>
        <v>3500000</v>
      </c>
      <c r="E92" s="132"/>
      <c r="F92" s="136">
        <f t="shared" ref="F92:F95" si="4">D92/$D$92</f>
        <v>1</v>
      </c>
      <c r="G92" s="132"/>
      <c r="H92" s="132"/>
      <c r="I92" s="132"/>
      <c r="J92" s="132"/>
      <c r="K92" s="132"/>
      <c r="L92" s="132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</row>
    <row r="93" ht="24.75" customHeight="1">
      <c r="A93" s="134"/>
      <c r="B93" s="131" t="s">
        <v>132</v>
      </c>
      <c r="C93" s="133"/>
      <c r="D93" s="135">
        <f>F89+G89+H89+J89</f>
        <v>3235870</v>
      </c>
      <c r="E93" s="132"/>
      <c r="F93" s="136">
        <f t="shared" si="4"/>
        <v>0.9245342857</v>
      </c>
      <c r="G93" s="132"/>
      <c r="H93" s="132"/>
      <c r="I93" s="132"/>
      <c r="J93" s="132"/>
      <c r="K93" s="132"/>
      <c r="L93" s="132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</row>
    <row r="94" ht="24.75" customHeight="1">
      <c r="A94" s="134"/>
      <c r="B94" s="131" t="s">
        <v>134</v>
      </c>
      <c r="C94" s="133"/>
      <c r="D94" s="137">
        <f>I89</f>
        <v>13765.52</v>
      </c>
      <c r="E94" s="132"/>
      <c r="F94" s="136">
        <f t="shared" si="4"/>
        <v>0.003933005714</v>
      </c>
      <c r="G94" s="132"/>
      <c r="H94" s="132"/>
      <c r="I94" s="132"/>
      <c r="J94" s="132"/>
      <c r="K94" s="132"/>
      <c r="L94" s="132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</row>
    <row r="95" ht="24.75" customHeight="1">
      <c r="A95" s="134"/>
      <c r="B95" s="131" t="s">
        <v>138</v>
      </c>
      <c r="C95" s="132"/>
      <c r="D95" s="139">
        <f>D92-D93-D94</f>
        <v>250364.48</v>
      </c>
      <c r="E95" s="132"/>
      <c r="F95" s="136">
        <f t="shared" si="4"/>
        <v>0.07153270857</v>
      </c>
      <c r="G95" s="132"/>
      <c r="H95" s="132"/>
      <c r="I95" s="132"/>
      <c r="J95" s="132"/>
      <c r="K95" s="132"/>
      <c r="L95" s="132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</row>
    <row r="96" ht="24.75" customHeight="1">
      <c r="A96" s="3"/>
      <c r="B96" s="3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24.75" customHeight="1">
      <c r="A97" s="3"/>
      <c r="B97" s="3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24.75" customHeight="1">
      <c r="A98" s="3"/>
      <c r="B98" s="3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24.75" customHeight="1">
      <c r="A99" s="3"/>
      <c r="B99" s="3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24.75" customHeight="1">
      <c r="A100" s="3"/>
      <c r="B100" s="3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24.75" customHeight="1">
      <c r="A101" s="3"/>
      <c r="B101" s="3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24.75" customHeight="1">
      <c r="A102" s="3"/>
      <c r="B102" s="3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24.75" customHeight="1">
      <c r="A103" s="3"/>
      <c r="B103" s="3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24.75" customHeight="1">
      <c r="A104" s="3"/>
      <c r="B104" s="3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24.75" customHeight="1">
      <c r="A105" s="3"/>
      <c r="B105" s="3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24.75" customHeight="1">
      <c r="A106" s="3"/>
      <c r="B106" s="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24.75" customHeight="1">
      <c r="A107" s="3"/>
      <c r="B107" s="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24.75" customHeight="1">
      <c r="A108" s="3"/>
      <c r="B108" s="3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24.75" customHeight="1">
      <c r="A109" s="3"/>
      <c r="B109" s="3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24.75" customHeight="1">
      <c r="A110" s="3"/>
      <c r="B110" s="3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24.75" customHeight="1">
      <c r="A111" s="3"/>
      <c r="B111" s="3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24.75" customHeight="1">
      <c r="A112" s="3"/>
      <c r="B112" s="3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24.75" customHeight="1">
      <c r="A113" s="3"/>
      <c r="B113" s="3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24.75" customHeight="1">
      <c r="A114" s="3"/>
      <c r="B114" s="3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24.75" customHeight="1">
      <c r="A115" s="3"/>
      <c r="B115" s="3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24.75" customHeight="1">
      <c r="A116" s="3"/>
      <c r="B116" s="3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24.75" customHeight="1">
      <c r="A117" s="3"/>
      <c r="B117" s="3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24.75" customHeight="1">
      <c r="A118" s="3"/>
      <c r="B118" s="3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24.75" customHeight="1">
      <c r="A119" s="3"/>
      <c r="B119" s="3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24.75" customHeight="1">
      <c r="A120" s="3"/>
      <c r="B120" s="3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24.75" customHeight="1">
      <c r="A121" s="3"/>
      <c r="B121" s="3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24.75" customHeight="1">
      <c r="A122" s="3"/>
      <c r="B122" s="3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24.75" customHeight="1">
      <c r="A123" s="3"/>
      <c r="B123" s="3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24.75" customHeight="1">
      <c r="A124" s="3"/>
      <c r="B124" s="3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24.75" customHeight="1">
      <c r="A125" s="3"/>
      <c r="B125" s="3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24.75" customHeight="1">
      <c r="A126" s="3"/>
      <c r="B126" s="3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24.75" customHeight="1">
      <c r="A127" s="3"/>
      <c r="B127" s="3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24.75" customHeight="1">
      <c r="A128" s="3"/>
      <c r="B128" s="3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24.75" customHeight="1">
      <c r="A129" s="3"/>
      <c r="B129" s="3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24.75" customHeight="1">
      <c r="A130" s="3"/>
      <c r="B130" s="3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24.75" customHeight="1">
      <c r="A131" s="3"/>
      <c r="B131" s="3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24.75" customHeight="1">
      <c r="A132" s="3"/>
      <c r="B132" s="3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24.75" customHeight="1">
      <c r="A133" s="3"/>
      <c r="B133" s="3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24.75" customHeight="1">
      <c r="A134" s="3"/>
      <c r="B134" s="3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24.75" customHeight="1">
      <c r="A135" s="3"/>
      <c r="B135" s="3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24.75" customHeight="1">
      <c r="A136" s="3"/>
      <c r="B136" s="3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24.75" customHeight="1">
      <c r="A137" s="3"/>
      <c r="B137" s="3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24.75" customHeight="1">
      <c r="A138" s="3"/>
      <c r="B138" s="3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24.75" customHeight="1">
      <c r="A139" s="3"/>
      <c r="B139" s="3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24.75" customHeight="1">
      <c r="A140" s="3"/>
      <c r="B140" s="3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24.75" customHeight="1">
      <c r="A141" s="3"/>
      <c r="B141" s="3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24.75" customHeight="1">
      <c r="A142" s="3"/>
      <c r="B142" s="3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24.75" customHeight="1">
      <c r="A143" s="3"/>
      <c r="B143" s="3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24.75" customHeight="1">
      <c r="A144" s="3"/>
      <c r="B144" s="3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24.75" customHeight="1">
      <c r="A145" s="3"/>
      <c r="B145" s="3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24.75" customHeight="1">
      <c r="A146" s="3"/>
      <c r="B146" s="3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24.75" customHeight="1">
      <c r="A147" s="3"/>
      <c r="B147" s="3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24.75" customHeight="1">
      <c r="A148" s="3"/>
      <c r="B148" s="3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24.75" customHeight="1">
      <c r="A149" s="3"/>
      <c r="B149" s="3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24.75" customHeight="1">
      <c r="A150" s="3"/>
      <c r="B150" s="3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24.75" customHeight="1">
      <c r="A151" s="3"/>
      <c r="B151" s="3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24.75" customHeight="1">
      <c r="A152" s="3"/>
      <c r="B152" s="3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24.75" customHeight="1">
      <c r="A153" s="3"/>
      <c r="B153" s="3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24.75" customHeight="1">
      <c r="A154" s="3"/>
      <c r="B154" s="3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24.75" customHeight="1">
      <c r="A155" s="3"/>
      <c r="B155" s="3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24.75" customHeight="1">
      <c r="A156" s="3"/>
      <c r="B156" s="3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24.75" customHeight="1">
      <c r="A157" s="3"/>
      <c r="B157" s="3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24.75" customHeight="1">
      <c r="A158" s="3"/>
      <c r="B158" s="3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24.75" customHeight="1">
      <c r="A159" s="3"/>
      <c r="B159" s="3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24.75" customHeight="1">
      <c r="A160" s="3"/>
      <c r="B160" s="3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24.75" customHeight="1">
      <c r="A161" s="3"/>
      <c r="B161" s="3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24.75" customHeight="1">
      <c r="A162" s="3"/>
      <c r="B162" s="3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24.75" customHeight="1">
      <c r="A163" s="3"/>
      <c r="B163" s="3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24.75" customHeight="1">
      <c r="A164" s="3"/>
      <c r="B164" s="3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24.75" customHeight="1">
      <c r="A165" s="3"/>
      <c r="B165" s="3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24.75" customHeight="1">
      <c r="A166" s="3"/>
      <c r="B166" s="3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24.75" customHeight="1">
      <c r="A167" s="3"/>
      <c r="B167" s="3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24.75" customHeight="1">
      <c r="A168" s="3"/>
      <c r="B168" s="3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24.75" customHeight="1">
      <c r="A169" s="3"/>
      <c r="B169" s="3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24.75" customHeight="1">
      <c r="A170" s="3"/>
      <c r="B170" s="3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24.75" customHeight="1">
      <c r="A171" s="3"/>
      <c r="B171" s="3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24.75" customHeight="1">
      <c r="A172" s="3"/>
      <c r="B172" s="3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24.75" customHeight="1">
      <c r="A173" s="3"/>
      <c r="B173" s="3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24.75" customHeight="1">
      <c r="A174" s="3"/>
      <c r="B174" s="3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24.75" customHeight="1">
      <c r="A175" s="3"/>
      <c r="B175" s="3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24.75" customHeight="1">
      <c r="A176" s="3"/>
      <c r="B176" s="3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24.75" customHeight="1">
      <c r="A177" s="3"/>
      <c r="B177" s="3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24.75" customHeight="1">
      <c r="A178" s="3"/>
      <c r="B178" s="3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24.75" customHeight="1">
      <c r="A179" s="3"/>
      <c r="B179" s="3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24.75" customHeight="1">
      <c r="A180" s="3"/>
      <c r="B180" s="3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24.75" customHeight="1">
      <c r="A181" s="3"/>
      <c r="B181" s="3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24.75" customHeight="1">
      <c r="A182" s="3"/>
      <c r="B182" s="3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24.75" customHeight="1">
      <c r="A183" s="3"/>
      <c r="B183" s="3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24.75" customHeight="1">
      <c r="A184" s="3"/>
      <c r="B184" s="3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24.75" customHeight="1">
      <c r="A185" s="3"/>
      <c r="B185" s="3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24.75" customHeight="1">
      <c r="A186" s="3"/>
      <c r="B186" s="3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24.75" customHeight="1">
      <c r="A187" s="3"/>
      <c r="B187" s="3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24.75" customHeight="1">
      <c r="A188" s="3"/>
      <c r="B188" s="3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24.75" customHeight="1">
      <c r="A189" s="3"/>
      <c r="B189" s="3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24.75" customHeight="1">
      <c r="A190" s="3"/>
      <c r="B190" s="3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24.75" customHeight="1">
      <c r="A191" s="3"/>
      <c r="B191" s="3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4.75" customHeight="1">
      <c r="A192" s="3"/>
      <c r="B192" s="3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4.75" customHeight="1">
      <c r="A193" s="3"/>
      <c r="B193" s="3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4.75" customHeight="1">
      <c r="A194" s="3"/>
      <c r="B194" s="3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24.75" customHeight="1">
      <c r="A195" s="3"/>
      <c r="B195" s="3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24.75" customHeight="1">
      <c r="A196" s="3"/>
      <c r="B196" s="3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24.75" customHeight="1">
      <c r="A197" s="3"/>
      <c r="B197" s="3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24.75" customHeight="1">
      <c r="A198" s="3"/>
      <c r="B198" s="3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24.75" customHeight="1">
      <c r="A199" s="3"/>
      <c r="B199" s="3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24.75" customHeight="1">
      <c r="A200" s="3"/>
      <c r="B200" s="3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24.75" customHeight="1">
      <c r="A201" s="3"/>
      <c r="B201" s="3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24.75" customHeight="1">
      <c r="A202" s="3"/>
      <c r="B202" s="3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24.75" customHeight="1">
      <c r="A203" s="3"/>
      <c r="B203" s="3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24.75" customHeight="1">
      <c r="A204" s="3"/>
      <c r="B204" s="3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24.75" customHeight="1">
      <c r="A205" s="3"/>
      <c r="B205" s="3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24.75" customHeight="1">
      <c r="A206" s="3"/>
      <c r="B206" s="3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24.75" customHeight="1">
      <c r="A207" s="3"/>
      <c r="B207" s="3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24.75" customHeight="1">
      <c r="A208" s="3"/>
      <c r="B208" s="3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24.75" customHeight="1">
      <c r="A209" s="3"/>
      <c r="B209" s="3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24.75" customHeight="1">
      <c r="A210" s="3"/>
      <c r="B210" s="3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24.75" customHeight="1">
      <c r="A211" s="3"/>
      <c r="B211" s="3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24.75" customHeight="1">
      <c r="A212" s="3"/>
      <c r="B212" s="3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24.75" customHeight="1">
      <c r="A213" s="3"/>
      <c r="B213" s="3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24.75" customHeight="1">
      <c r="A214" s="3"/>
      <c r="B214" s="3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24.75" customHeight="1">
      <c r="A215" s="3"/>
      <c r="B215" s="3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24.75" customHeight="1">
      <c r="A216" s="3"/>
      <c r="B216" s="3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24.75" customHeight="1">
      <c r="A217" s="3"/>
      <c r="B217" s="3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24.75" customHeight="1">
      <c r="A218" s="3"/>
      <c r="B218" s="3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24.75" customHeight="1">
      <c r="A219" s="3"/>
      <c r="B219" s="3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24.75" customHeight="1">
      <c r="A220" s="3"/>
      <c r="B220" s="3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24.75" customHeight="1">
      <c r="A221" s="3"/>
      <c r="B221" s="3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24.75" customHeight="1">
      <c r="A222" s="3"/>
      <c r="B222" s="3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24.75" customHeight="1">
      <c r="A223" s="3"/>
      <c r="B223" s="3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24.75" customHeight="1">
      <c r="A224" s="3"/>
      <c r="B224" s="3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24.75" customHeight="1">
      <c r="A225" s="3"/>
      <c r="B225" s="3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24.75" customHeight="1">
      <c r="A226" s="3"/>
      <c r="B226" s="3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24.75" customHeight="1">
      <c r="A227" s="3"/>
      <c r="B227" s="3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24.75" customHeight="1">
      <c r="A228" s="3"/>
      <c r="B228" s="3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24.75" customHeight="1">
      <c r="A229" s="3"/>
      <c r="B229" s="3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24.75" customHeight="1">
      <c r="A230" s="3"/>
      <c r="B230" s="3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24.75" customHeight="1">
      <c r="A231" s="3"/>
      <c r="B231" s="3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24.75" customHeight="1">
      <c r="A232" s="3"/>
      <c r="B232" s="3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24.75" customHeight="1">
      <c r="A233" s="3"/>
      <c r="B233" s="3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24.75" customHeight="1">
      <c r="A234" s="3"/>
      <c r="B234" s="3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24.75" customHeight="1">
      <c r="A235" s="3"/>
      <c r="B235" s="3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24.75" customHeight="1">
      <c r="A236" s="3"/>
      <c r="B236" s="3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24.75" customHeight="1">
      <c r="A237" s="3"/>
      <c r="B237" s="3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24.75" customHeight="1">
      <c r="A238" s="3"/>
      <c r="B238" s="3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24.75" customHeight="1">
      <c r="A239" s="3"/>
      <c r="B239" s="3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24.75" customHeight="1">
      <c r="A240" s="3"/>
      <c r="B240" s="3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24.75" customHeight="1">
      <c r="A241" s="3"/>
      <c r="B241" s="3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24.75" customHeight="1">
      <c r="A242" s="3"/>
      <c r="B242" s="3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24.75" customHeight="1">
      <c r="A243" s="3"/>
      <c r="B243" s="3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24.75" customHeight="1">
      <c r="A244" s="3"/>
      <c r="B244" s="3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24.75" customHeight="1">
      <c r="A245" s="3"/>
      <c r="B245" s="3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24.75" customHeight="1">
      <c r="A246" s="3"/>
      <c r="B246" s="3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24.75" customHeight="1">
      <c r="A247" s="3"/>
      <c r="B247" s="3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24.75" customHeight="1">
      <c r="A248" s="3"/>
      <c r="B248" s="3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24.75" customHeight="1">
      <c r="A249" s="3"/>
      <c r="B249" s="3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24.75" customHeight="1">
      <c r="A250" s="3"/>
      <c r="B250" s="3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24.75" customHeight="1">
      <c r="A251" s="3"/>
      <c r="B251" s="3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24.75" customHeight="1">
      <c r="A252" s="3"/>
      <c r="B252" s="3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24.75" customHeight="1">
      <c r="A253" s="3"/>
      <c r="B253" s="3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24.75" customHeight="1">
      <c r="A254" s="3"/>
      <c r="B254" s="3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24.75" customHeight="1">
      <c r="A255" s="3"/>
      <c r="B255" s="3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4.75" customHeight="1">
      <c r="A256" s="3"/>
      <c r="B256" s="3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24.75" customHeight="1">
      <c r="A257" s="3"/>
      <c r="B257" s="3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24.75" customHeight="1">
      <c r="A258" s="3"/>
      <c r="B258" s="3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24.75" customHeight="1">
      <c r="A259" s="3"/>
      <c r="B259" s="3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24.75" customHeight="1">
      <c r="A260" s="3"/>
      <c r="B260" s="3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24.75" customHeight="1">
      <c r="A261" s="3"/>
      <c r="B261" s="3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24.75" customHeight="1">
      <c r="A262" s="3"/>
      <c r="B262" s="3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24.75" customHeight="1">
      <c r="A263" s="3"/>
      <c r="B263" s="3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24.75" customHeight="1">
      <c r="A264" s="3"/>
      <c r="B264" s="3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24.75" customHeight="1">
      <c r="A265" s="3"/>
      <c r="B265" s="3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24.75" customHeight="1">
      <c r="A266" s="3"/>
      <c r="B266" s="3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24.75" customHeight="1">
      <c r="A267" s="3"/>
      <c r="B267" s="3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24.75" customHeight="1">
      <c r="A268" s="3"/>
      <c r="B268" s="3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24.75" customHeight="1">
      <c r="A269" s="3"/>
      <c r="B269" s="3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24.75" customHeight="1">
      <c r="A270" s="3"/>
      <c r="B270" s="3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24.75" customHeight="1">
      <c r="A271" s="3"/>
      <c r="B271" s="3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24.75" customHeight="1">
      <c r="A272" s="3"/>
      <c r="B272" s="3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24.75" customHeight="1">
      <c r="A273" s="3"/>
      <c r="B273" s="3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24.75" customHeight="1">
      <c r="A274" s="3"/>
      <c r="B274" s="3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24.75" customHeight="1">
      <c r="A275" s="3"/>
      <c r="B275" s="3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24.75" customHeight="1">
      <c r="A276" s="3"/>
      <c r="B276" s="3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24.75" customHeight="1">
      <c r="A277" s="3"/>
      <c r="B277" s="3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24.75" customHeight="1">
      <c r="A278" s="3"/>
      <c r="B278" s="3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24.75" customHeight="1">
      <c r="A279" s="3"/>
      <c r="B279" s="3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24.75" customHeight="1">
      <c r="A280" s="3"/>
      <c r="B280" s="3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24.75" customHeight="1">
      <c r="A281" s="3"/>
      <c r="B281" s="3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24.75" customHeight="1">
      <c r="A282" s="3"/>
      <c r="B282" s="3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24.75" customHeight="1">
      <c r="A283" s="3"/>
      <c r="B283" s="3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24.75" customHeight="1">
      <c r="A284" s="3"/>
      <c r="B284" s="3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24.75" customHeight="1">
      <c r="A285" s="3"/>
      <c r="B285" s="3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24.75" customHeight="1">
      <c r="A286" s="3"/>
      <c r="B286" s="3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24.75" customHeight="1">
      <c r="A287" s="3"/>
      <c r="B287" s="3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24.75" customHeight="1">
      <c r="A288" s="3"/>
      <c r="B288" s="3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24.75" customHeight="1">
      <c r="A289" s="3"/>
      <c r="B289" s="3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24.75" customHeight="1">
      <c r="A290" s="3"/>
      <c r="B290" s="3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24.75" customHeight="1">
      <c r="A291" s="3"/>
      <c r="B291" s="3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24.75" customHeight="1">
      <c r="A292" s="3"/>
      <c r="B292" s="3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24.75" customHeight="1">
      <c r="A293" s="3"/>
      <c r="B293" s="3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24.75" customHeight="1">
      <c r="A294" s="3"/>
      <c r="B294" s="3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24.75" customHeight="1">
      <c r="A295" s="3"/>
      <c r="B295" s="3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5:A6"/>
    <mergeCell ref="B5:B6"/>
    <mergeCell ref="C5:D5"/>
    <mergeCell ref="F5:J5"/>
    <mergeCell ref="L5:L6"/>
  </mergeCells>
  <dataValidations>
    <dataValidation type="list" allowBlank="1" showErrorMessage="1" sqref="N7:N88">
      <formula1>"บิลสมบูรณ์,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</dataValidations>
  <printOptions gridLines="1" horizontalCentered="1"/>
  <pageMargins bottom="0.35433070866141736" footer="0.0" header="0.0" left="0.7086614173228347" right="0.7086614173228347" top="0.7480314960629921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4.5"/>
    <col customWidth="1" min="2" max="2" width="31.5"/>
    <col customWidth="1" min="3" max="3" width="24.13"/>
    <col customWidth="1" min="4" max="5" width="15.5"/>
    <col customWidth="1" min="6" max="8" width="14.5"/>
    <col customWidth="1" min="9" max="9" width="15.5"/>
    <col customWidth="1" min="10" max="10" width="16.88"/>
    <col customWidth="1" min="11" max="11" width="38.13"/>
    <col customWidth="1" min="12" max="35" width="8.88"/>
  </cols>
  <sheetData>
    <row r="1">
      <c r="A1" s="1" t="s">
        <v>2</v>
      </c>
      <c r="B1" s="1"/>
      <c r="C1" s="4" t="s">
        <v>3</v>
      </c>
      <c r="D1" s="1" t="s">
        <v>4</v>
      </c>
      <c r="E1" s="1"/>
      <c r="F1" s="1"/>
      <c r="G1" s="1"/>
      <c r="H1" s="1"/>
      <c r="I1" s="1"/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8</v>
      </c>
      <c r="B2" s="9"/>
      <c r="C2" s="9"/>
      <c r="D2" s="13" t="s">
        <v>9</v>
      </c>
      <c r="E2" s="13">
        <v>0.0</v>
      </c>
      <c r="F2" s="15"/>
      <c r="G2" s="15"/>
      <c r="H2" s="15"/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13</v>
      </c>
      <c r="B3" s="9"/>
      <c r="C3" s="9"/>
      <c r="D3" s="1" t="s">
        <v>14</v>
      </c>
      <c r="E3" s="9"/>
      <c r="F3" s="15"/>
      <c r="G3" s="15"/>
      <c r="H3" s="15"/>
      <c r="I3" s="15"/>
      <c r="J3" s="15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9"/>
      <c r="B7" s="42"/>
      <c r="C7" s="42"/>
      <c r="D7" s="36"/>
      <c r="E7" s="36"/>
      <c r="F7" s="36"/>
      <c r="G7" s="36"/>
      <c r="H7" s="36"/>
      <c r="I7" s="36"/>
      <c r="J7" s="36"/>
      <c r="K7" s="45"/>
      <c r="N7" s="43"/>
    </row>
    <row r="8" ht="12.75" customHeight="1">
      <c r="A8" s="39"/>
      <c r="B8" s="42"/>
      <c r="C8" s="42"/>
      <c r="D8" s="36"/>
      <c r="E8" s="36"/>
      <c r="F8" s="36"/>
      <c r="G8" s="36"/>
      <c r="H8" s="36"/>
      <c r="I8" s="36"/>
      <c r="J8" s="36"/>
      <c r="K8" s="45"/>
      <c r="N8" s="43"/>
    </row>
    <row r="9" ht="12.75" customHeight="1">
      <c r="A9" s="39"/>
      <c r="B9" s="42"/>
      <c r="C9" s="42"/>
      <c r="D9" s="36"/>
      <c r="E9" s="48"/>
      <c r="F9" s="49"/>
      <c r="G9" s="36"/>
      <c r="H9" s="48"/>
      <c r="I9" s="36"/>
      <c r="J9" s="36"/>
      <c r="K9" s="45"/>
    </row>
    <row r="10" ht="12.75" customHeight="1">
      <c r="A10" s="52"/>
      <c r="B10" s="42"/>
      <c r="C10" s="42"/>
      <c r="D10" s="36"/>
      <c r="E10" s="36"/>
      <c r="F10" s="36"/>
      <c r="G10" s="48"/>
      <c r="H10" s="36"/>
      <c r="I10" s="36"/>
      <c r="J10" s="36"/>
      <c r="K10" s="45"/>
    </row>
    <row r="11" ht="12.75" customHeight="1">
      <c r="A11" s="53"/>
      <c r="B11" s="54"/>
      <c r="C11" s="42"/>
      <c r="D11" s="36"/>
      <c r="E11" s="36"/>
      <c r="F11" s="48"/>
      <c r="G11" s="48"/>
      <c r="H11" s="42"/>
      <c r="I11" s="36"/>
      <c r="J11" s="36"/>
      <c r="K11" s="36"/>
      <c r="L11" s="48"/>
    </row>
    <row r="12" ht="12.75" customHeight="1">
      <c r="A12" s="53"/>
      <c r="B12" s="56"/>
      <c r="C12" s="42"/>
      <c r="D12" s="36"/>
      <c r="E12" s="48"/>
      <c r="F12" s="36"/>
      <c r="G12" s="36"/>
      <c r="H12" s="36"/>
      <c r="I12" s="36"/>
      <c r="J12" s="36"/>
      <c r="K12" s="45"/>
      <c r="N12" s="43"/>
    </row>
    <row r="13" ht="12.75" customHeight="1">
      <c r="A13" s="53"/>
      <c r="B13" s="56"/>
      <c r="C13" s="58"/>
      <c r="D13" s="59"/>
      <c r="E13" s="59"/>
      <c r="F13" s="59"/>
      <c r="G13" s="59"/>
      <c r="H13" s="60"/>
      <c r="I13" s="36"/>
      <c r="J13" s="36"/>
      <c r="K13" s="36"/>
      <c r="N13" s="43"/>
    </row>
    <row r="14" ht="12.75" customHeight="1">
      <c r="A14" s="53"/>
      <c r="B14" s="62"/>
      <c r="C14" s="64"/>
      <c r="D14" s="63"/>
      <c r="E14" s="63"/>
      <c r="F14" s="63"/>
      <c r="G14" s="65"/>
      <c r="H14" s="41"/>
      <c r="I14" s="36"/>
      <c r="J14" s="36"/>
      <c r="K14" s="45"/>
    </row>
    <row r="15" ht="12.75" customHeight="1">
      <c r="A15" s="53"/>
      <c r="B15" s="62"/>
      <c r="C15" s="64"/>
      <c r="D15" s="63"/>
      <c r="E15" s="63"/>
      <c r="F15" s="63"/>
      <c r="G15" s="65"/>
      <c r="H15" s="41"/>
      <c r="I15" s="36"/>
      <c r="J15" s="36"/>
      <c r="K15" s="45"/>
    </row>
    <row r="16" ht="12.75" customHeight="1">
      <c r="A16" s="53"/>
      <c r="B16" s="71"/>
      <c r="C16" s="42"/>
      <c r="D16" s="36"/>
      <c r="E16" s="36"/>
      <c r="F16" s="36"/>
      <c r="G16" s="48"/>
      <c r="H16" s="36"/>
      <c r="I16" s="36"/>
      <c r="J16" s="36"/>
      <c r="K16" s="45"/>
    </row>
    <row r="17" ht="12.75" customHeight="1">
      <c r="A17" s="53"/>
      <c r="B17" s="71"/>
      <c r="C17" s="58"/>
      <c r="D17" s="59"/>
      <c r="E17" s="59"/>
      <c r="F17" s="59"/>
      <c r="G17" s="59"/>
      <c r="H17" s="60"/>
      <c r="I17" s="36"/>
      <c r="J17" s="36"/>
      <c r="K17" s="45"/>
      <c r="N17" s="43"/>
    </row>
    <row r="18" ht="12.75" customHeight="1">
      <c r="A18" s="53"/>
      <c r="B18" s="62"/>
      <c r="C18" s="64"/>
      <c r="D18" s="63"/>
      <c r="E18" s="63"/>
      <c r="F18" s="63"/>
      <c r="G18" s="65"/>
      <c r="H18" s="41"/>
      <c r="I18" s="36"/>
      <c r="J18" s="36"/>
      <c r="K18" s="36"/>
    </row>
    <row r="19" ht="12.75" customHeight="1">
      <c r="A19" s="53"/>
      <c r="B19" s="62"/>
      <c r="C19" s="64"/>
      <c r="D19" s="63"/>
      <c r="E19" s="63"/>
      <c r="F19" s="63"/>
      <c r="G19" s="65"/>
      <c r="H19" s="41"/>
      <c r="I19" s="36"/>
      <c r="J19" s="36"/>
      <c r="K19" s="36"/>
    </row>
    <row r="20" ht="12.75" customHeight="1">
      <c r="A20" s="75"/>
      <c r="B20" s="77"/>
      <c r="C20" s="77"/>
      <c r="D20" s="78"/>
      <c r="E20" s="79"/>
      <c r="F20" s="78"/>
      <c r="G20" s="78"/>
      <c r="H20" s="36"/>
      <c r="I20" s="36"/>
      <c r="J20" s="36"/>
      <c r="K20" s="45"/>
      <c r="N20" s="43"/>
    </row>
    <row r="21" ht="12.75" customHeight="1">
      <c r="A21" s="75"/>
      <c r="B21" s="77"/>
      <c r="C21" s="77"/>
      <c r="D21" s="78"/>
      <c r="E21" s="79"/>
      <c r="F21" s="78"/>
      <c r="G21" s="78"/>
      <c r="H21" s="36"/>
      <c r="I21" s="36"/>
      <c r="J21" s="36"/>
      <c r="K21" s="45"/>
      <c r="N21" s="43"/>
    </row>
    <row r="22" ht="12.75" customHeight="1">
      <c r="A22" s="75"/>
      <c r="B22" s="77"/>
      <c r="C22" s="77"/>
      <c r="D22" s="78"/>
      <c r="E22" s="79"/>
      <c r="F22" s="78"/>
      <c r="G22" s="78"/>
      <c r="H22" s="36"/>
      <c r="I22" s="36"/>
      <c r="J22" s="36"/>
      <c r="K22" s="45"/>
      <c r="N22" s="43"/>
    </row>
    <row r="23" ht="12.75" customHeight="1">
      <c r="A23" s="75"/>
      <c r="B23" s="77"/>
      <c r="C23" s="77"/>
      <c r="D23" s="78"/>
      <c r="E23" s="79"/>
      <c r="F23" s="78"/>
      <c r="G23" s="78"/>
      <c r="H23" s="36"/>
      <c r="I23" s="36"/>
      <c r="J23" s="36"/>
      <c r="K23" s="45"/>
      <c r="N23" s="43"/>
    </row>
    <row r="24" ht="12.75" customHeight="1">
      <c r="A24" s="75"/>
      <c r="B24" s="77"/>
      <c r="C24" s="77"/>
      <c r="D24" s="78"/>
      <c r="E24" s="79"/>
      <c r="F24" s="78"/>
      <c r="G24" s="78"/>
      <c r="H24" s="36"/>
      <c r="I24" s="36"/>
      <c r="J24" s="36"/>
      <c r="K24" s="45"/>
      <c r="N24" s="43"/>
    </row>
    <row r="25" ht="12.75" customHeight="1">
      <c r="A25" s="75"/>
      <c r="B25" s="77"/>
      <c r="C25" s="77"/>
      <c r="D25" s="78"/>
      <c r="E25" s="79"/>
      <c r="F25" s="78"/>
      <c r="G25" s="78"/>
      <c r="H25" s="36"/>
      <c r="I25" s="36"/>
      <c r="J25" s="36"/>
      <c r="K25" s="45"/>
      <c r="N25" s="43"/>
    </row>
    <row r="26" ht="12.75" customHeight="1">
      <c r="A26" s="75"/>
      <c r="B26" s="77"/>
      <c r="C26" s="77"/>
      <c r="D26" s="78"/>
      <c r="E26" s="79"/>
      <c r="F26" s="78"/>
      <c r="G26" s="78"/>
      <c r="H26" s="36"/>
      <c r="I26" s="36"/>
      <c r="J26" s="36"/>
      <c r="K26" s="45"/>
      <c r="N26" s="43"/>
    </row>
    <row r="27" ht="12.75" customHeight="1">
      <c r="A27" s="75"/>
      <c r="B27" s="77"/>
      <c r="C27" s="77"/>
      <c r="D27" s="78"/>
      <c r="E27" s="79"/>
      <c r="F27" s="78"/>
      <c r="G27" s="78"/>
      <c r="H27" s="36"/>
      <c r="I27" s="36"/>
      <c r="J27" s="36"/>
      <c r="K27" s="45"/>
      <c r="N27" s="43"/>
    </row>
    <row r="28" ht="12.75" customHeight="1">
      <c r="A28" s="75"/>
      <c r="B28" s="42"/>
      <c r="C28" s="42"/>
      <c r="D28" s="36"/>
      <c r="E28" s="48"/>
      <c r="F28" s="36"/>
      <c r="G28" s="36"/>
      <c r="H28" s="36"/>
      <c r="I28" s="36"/>
      <c r="J28" s="36"/>
      <c r="K28" s="45"/>
      <c r="N28" s="43"/>
    </row>
    <row r="29" ht="12.75" customHeight="1">
      <c r="A29" s="75"/>
      <c r="B29" s="42"/>
      <c r="C29" s="42"/>
      <c r="D29" s="36"/>
      <c r="E29" s="36"/>
      <c r="F29" s="48"/>
      <c r="G29" s="36"/>
      <c r="H29" s="36"/>
      <c r="I29" s="36"/>
      <c r="J29" s="36"/>
      <c r="K29" s="36"/>
    </row>
    <row r="30" ht="12.75" customHeight="1">
      <c r="A30" s="86"/>
      <c r="B30" s="62"/>
      <c r="C30" s="64"/>
      <c r="D30" s="63"/>
      <c r="E30" s="63"/>
      <c r="F30" s="63"/>
      <c r="G30" s="65"/>
      <c r="H30" s="36"/>
      <c r="I30" s="36"/>
      <c r="J30" s="36"/>
      <c r="K30" s="36"/>
    </row>
    <row r="31" ht="12.75" customHeight="1">
      <c r="A31" s="86"/>
      <c r="B31" s="62"/>
      <c r="C31" s="64"/>
      <c r="D31" s="63"/>
      <c r="E31" s="63"/>
      <c r="F31" s="63"/>
      <c r="G31" s="65"/>
      <c r="H31" s="36"/>
      <c r="I31" s="36"/>
      <c r="J31" s="36"/>
      <c r="K31" s="36"/>
    </row>
    <row r="32" ht="12.75" customHeight="1">
      <c r="A32" s="53"/>
      <c r="B32" s="74"/>
      <c r="C32" s="82"/>
      <c r="D32" s="41"/>
      <c r="E32" s="41"/>
      <c r="F32" s="84"/>
      <c r="G32" s="41"/>
      <c r="H32" s="41"/>
      <c r="I32" s="41"/>
      <c r="J32" s="41"/>
      <c r="K32" s="41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</row>
    <row r="33" ht="12.75" customHeight="1">
      <c r="A33" s="75"/>
      <c r="B33" s="42"/>
      <c r="C33" s="42"/>
      <c r="D33" s="36"/>
      <c r="E33" s="36"/>
      <c r="F33" s="48"/>
      <c r="G33" s="36"/>
      <c r="H33" s="36"/>
      <c r="I33" s="41"/>
      <c r="J33" s="41"/>
      <c r="K33" s="41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</row>
    <row r="34" ht="12.75" customHeight="1">
      <c r="A34" s="90"/>
      <c r="B34" s="42"/>
      <c r="C34" s="42"/>
      <c r="D34" s="36"/>
      <c r="E34" s="36"/>
      <c r="F34" s="48"/>
      <c r="G34" s="36"/>
      <c r="H34" s="36"/>
      <c r="I34" s="36"/>
      <c r="J34" s="36"/>
      <c r="K34" s="36"/>
    </row>
    <row r="35" ht="12.75" customHeight="1">
      <c r="A35" s="42"/>
      <c r="B35" s="42"/>
      <c r="C35" s="42"/>
      <c r="D35" s="36"/>
      <c r="E35" s="36"/>
      <c r="F35" s="48"/>
      <c r="G35" s="36"/>
      <c r="H35" s="48"/>
      <c r="I35" s="36"/>
      <c r="J35" s="36"/>
      <c r="K35" s="36"/>
    </row>
    <row r="36" ht="12.75" customHeight="1">
      <c r="A36" s="42"/>
      <c r="B36" s="42"/>
      <c r="C36" s="42"/>
      <c r="D36" s="36"/>
      <c r="E36" s="36"/>
      <c r="F36" s="48"/>
      <c r="G36" s="36"/>
      <c r="H36" s="36"/>
      <c r="I36" s="36"/>
      <c r="J36" s="36"/>
      <c r="K36" s="36"/>
    </row>
    <row r="37" ht="12.75" customHeight="1">
      <c r="A37" s="90"/>
      <c r="B37" s="42"/>
      <c r="C37" s="42"/>
      <c r="D37" s="36"/>
      <c r="E37" s="36"/>
      <c r="F37" s="48"/>
      <c r="G37" s="36"/>
      <c r="H37" s="36"/>
      <c r="I37" s="36"/>
      <c r="J37" s="36"/>
      <c r="K37" s="36"/>
    </row>
    <row r="38" ht="12.75" customHeight="1">
      <c r="A38" s="42"/>
      <c r="B38" s="42"/>
      <c r="C38" s="42"/>
      <c r="D38" s="36"/>
      <c r="E38" s="36"/>
      <c r="F38" s="48"/>
      <c r="G38" s="36"/>
      <c r="H38" s="48"/>
      <c r="I38" s="36"/>
      <c r="J38" s="36"/>
      <c r="K38" s="36"/>
    </row>
    <row r="39" ht="12.75" customHeight="1">
      <c r="A39" s="93"/>
      <c r="B39" s="94"/>
      <c r="C39" s="95"/>
      <c r="D39" s="30">
        <f t="shared" ref="D39:H39" si="1">SUM(D7:D38)</f>
        <v>0</v>
      </c>
      <c r="E39" s="30">
        <f t="shared" si="1"/>
        <v>0</v>
      </c>
      <c r="F39" s="30">
        <f t="shared" si="1"/>
        <v>0</v>
      </c>
      <c r="G39" s="30">
        <f t="shared" si="1"/>
        <v>0</v>
      </c>
      <c r="H39" s="30">
        <f t="shared" si="1"/>
        <v>0</v>
      </c>
      <c r="I39" s="30"/>
      <c r="J39" s="30">
        <f>SUM(J7:J38)</f>
        <v>0</v>
      </c>
      <c r="K39" s="98"/>
    </row>
    <row r="40" ht="12.75" customHeight="1">
      <c r="A40" s="46" t="s">
        <v>87</v>
      </c>
      <c r="B40" s="99">
        <f>H13+G14+G15+H16+H17</f>
        <v>0</v>
      </c>
      <c r="C40" s="100" t="s">
        <v>88</v>
      </c>
      <c r="D40" s="101">
        <f>SUMIF(B7:B38, "*"&amp;"น้ำมัน"&amp;"*", F7:F38)</f>
        <v>0</v>
      </c>
    </row>
    <row r="41" ht="12.75" customHeight="1">
      <c r="A41" s="46" t="s">
        <v>90</v>
      </c>
      <c r="B41" s="99">
        <f>sum(F39:H39)</f>
        <v>0</v>
      </c>
      <c r="C41" s="100" t="s">
        <v>92</v>
      </c>
      <c r="D41" s="101">
        <f>F39-D40</f>
        <v>0</v>
      </c>
    </row>
    <row r="42" ht="12.75" customHeight="1">
      <c r="A42" s="100" t="s">
        <v>93</v>
      </c>
      <c r="B42" s="101">
        <f>J50-B41</f>
        <v>0</v>
      </c>
    </row>
    <row r="43" ht="12.75" customHeight="1"/>
    <row r="44" ht="12.75" customHeight="1"/>
    <row r="45" ht="12.75" customHeight="1">
      <c r="A45" s="19" t="s">
        <v>23</v>
      </c>
      <c r="B45" s="30"/>
      <c r="C45" s="21" t="s">
        <v>95</v>
      </c>
      <c r="D45" s="23"/>
      <c r="E45" s="23"/>
      <c r="F45" s="22"/>
      <c r="G45" s="82"/>
      <c r="H45" s="82"/>
      <c r="I45" s="70"/>
      <c r="J45" s="82"/>
      <c r="K45" s="82" t="s">
        <v>97</v>
      </c>
      <c r="L45" s="82" t="s">
        <v>99</v>
      </c>
      <c r="M45" s="82" t="s">
        <v>26</v>
      </c>
    </row>
    <row r="46" ht="12.75" customHeight="1">
      <c r="A46" s="29"/>
      <c r="B46" s="30" t="s">
        <v>100</v>
      </c>
      <c r="C46" s="30" t="s">
        <v>101</v>
      </c>
      <c r="D46" s="30" t="s">
        <v>102</v>
      </c>
      <c r="E46" s="30" t="s">
        <v>103</v>
      </c>
      <c r="F46" s="30" t="s">
        <v>104</v>
      </c>
      <c r="G46" s="21" t="s">
        <v>85</v>
      </c>
      <c r="H46" s="102" t="s">
        <v>105</v>
      </c>
      <c r="I46" s="102" t="s">
        <v>106</v>
      </c>
      <c r="J46" s="103" t="s">
        <v>107</v>
      </c>
      <c r="K46" s="82" t="s">
        <v>101</v>
      </c>
      <c r="L46" s="82">
        <v>100.0</v>
      </c>
      <c r="M46" s="82">
        <v>630.0</v>
      </c>
    </row>
    <row r="47" ht="12.75" customHeight="1">
      <c r="A47" s="87"/>
      <c r="B47" s="104"/>
      <c r="C47" s="104"/>
      <c r="D47" s="104"/>
      <c r="E47" s="104"/>
      <c r="F47" s="104">
        <f t="shared" ref="F47:F50" si="2">sum(B47:E47)</f>
        <v>0</v>
      </c>
      <c r="G47" s="105"/>
      <c r="H47" s="106">
        <f t="shared" ref="H47:H50" si="3">F47*$L$46</f>
        <v>0</v>
      </c>
      <c r="I47" s="107"/>
      <c r="J47" s="82">
        <f t="shared" ref="J47:J50" si="4">0.9*(((B47+C47)*$M$46)+(D47*$M$48)+(E47*$M$49))</f>
        <v>0</v>
      </c>
      <c r="K47" s="82"/>
      <c r="L47" s="82"/>
      <c r="M47" s="82"/>
    </row>
    <row r="48" ht="12.75" customHeight="1">
      <c r="A48" s="34">
        <v>244627.0</v>
      </c>
      <c r="B48" s="104"/>
      <c r="C48" s="104"/>
      <c r="D48" s="104"/>
      <c r="E48" s="104"/>
      <c r="F48" s="104">
        <f t="shared" si="2"/>
        <v>0</v>
      </c>
      <c r="G48" s="105">
        <v>0.0</v>
      </c>
      <c r="H48" s="106">
        <f t="shared" si="3"/>
        <v>0</v>
      </c>
      <c r="I48" s="107"/>
      <c r="J48" s="82">
        <f t="shared" si="4"/>
        <v>0</v>
      </c>
      <c r="K48" s="82" t="s">
        <v>102</v>
      </c>
      <c r="L48" s="82">
        <v>100.0</v>
      </c>
      <c r="M48" s="82">
        <v>680.0</v>
      </c>
    </row>
    <row r="49" ht="12.75" customHeight="1">
      <c r="A49" s="51" t="s">
        <v>108</v>
      </c>
      <c r="B49" s="104"/>
      <c r="C49" s="104"/>
      <c r="D49" s="104"/>
      <c r="E49" s="104"/>
      <c r="F49" s="104">
        <f t="shared" si="2"/>
        <v>0</v>
      </c>
      <c r="G49" s="105">
        <v>0.0</v>
      </c>
      <c r="H49" s="106">
        <f t="shared" si="3"/>
        <v>0</v>
      </c>
      <c r="I49" s="108"/>
      <c r="J49" s="82">
        <f t="shared" si="4"/>
        <v>0</v>
      </c>
      <c r="K49" s="82" t="s">
        <v>103</v>
      </c>
      <c r="L49" s="82">
        <v>100.0</v>
      </c>
      <c r="M49" s="82">
        <v>680.0</v>
      </c>
    </row>
    <row r="50" ht="12.75" customHeight="1">
      <c r="A50" s="51" t="s">
        <v>60</v>
      </c>
      <c r="B50" s="104"/>
      <c r="C50" s="104"/>
      <c r="D50" s="104"/>
      <c r="E50" s="104"/>
      <c r="F50" s="104">
        <f t="shared" si="2"/>
        <v>0</v>
      </c>
      <c r="G50" s="105"/>
      <c r="H50" s="106">
        <f t="shared" si="3"/>
        <v>0</v>
      </c>
      <c r="I50" s="108"/>
      <c r="J50" s="82">
        <f t="shared" si="4"/>
        <v>0</v>
      </c>
    </row>
    <row r="51" ht="12.75" customHeight="1">
      <c r="B51" s="109"/>
      <c r="C51" s="110"/>
      <c r="D51" s="110"/>
      <c r="E51" s="110"/>
      <c r="F51" s="110"/>
      <c r="G51" s="111" t="s">
        <v>109</v>
      </c>
      <c r="H51" s="111"/>
      <c r="I51" s="112">
        <f>SUM(I48:I50)</f>
        <v>0</v>
      </c>
      <c r="J51" s="111"/>
      <c r="L51" s="100" t="s">
        <v>110</v>
      </c>
    </row>
    <row r="52" ht="12.75" customHeight="1">
      <c r="G52" s="113" t="s">
        <v>111</v>
      </c>
      <c r="H52" s="114">
        <f>H50-I51</f>
        <v>0</v>
      </c>
      <c r="I52" s="46"/>
      <c r="L52" s="100">
        <v>150.0</v>
      </c>
      <c r="M52" s="100">
        <v>1000.0</v>
      </c>
    </row>
    <row r="53" ht="12.75" customHeight="1">
      <c r="L53" s="100">
        <v>160.0</v>
      </c>
      <c r="M53" s="100">
        <v>2000.0</v>
      </c>
    </row>
    <row r="54" ht="12.75" customHeight="1">
      <c r="L54" s="100">
        <v>170.0</v>
      </c>
      <c r="M54" s="100">
        <v>3000.0</v>
      </c>
    </row>
    <row r="55" ht="12.75" customHeight="1">
      <c r="G55" s="100"/>
      <c r="L55" s="100">
        <v>180.0</v>
      </c>
      <c r="M55" s="100">
        <v>4000.0</v>
      </c>
    </row>
    <row r="56" ht="12.75" customHeight="1">
      <c r="B56" s="82"/>
      <c r="C56" s="82"/>
      <c r="D56" s="82"/>
      <c r="E56" s="82"/>
      <c r="F56" s="104"/>
      <c r="G56" s="82"/>
      <c r="H56" s="116"/>
      <c r="I56" s="117"/>
      <c r="L56" s="100">
        <v>190.0</v>
      </c>
      <c r="M56" s="100">
        <v>5000.0</v>
      </c>
    </row>
    <row r="57" ht="12.75" customHeight="1">
      <c r="B57" s="82"/>
      <c r="C57" s="118"/>
      <c r="D57" s="118"/>
      <c r="E57" s="82"/>
      <c r="F57" s="104"/>
      <c r="G57" s="82"/>
      <c r="H57" s="82"/>
      <c r="I57" s="82"/>
      <c r="L57" s="100">
        <v>200.0</v>
      </c>
      <c r="M57" s="100">
        <v>6000.0</v>
      </c>
    </row>
    <row r="58" ht="12.75" customHeight="1">
      <c r="B58" s="82"/>
      <c r="C58" s="82"/>
      <c r="D58" s="82"/>
      <c r="E58" s="82"/>
      <c r="F58" s="82"/>
      <c r="G58" s="82"/>
      <c r="H58" s="82"/>
      <c r="I58" s="82"/>
      <c r="L58" s="100">
        <v>210.0</v>
      </c>
      <c r="M58" s="100">
        <v>7000.0</v>
      </c>
    </row>
    <row r="59" ht="12.75" customHeight="1">
      <c r="G59" s="111"/>
      <c r="H59" s="111"/>
      <c r="I59" s="112"/>
      <c r="J59" s="111"/>
      <c r="L59" s="100">
        <v>230.0</v>
      </c>
      <c r="M59" s="100">
        <v>9000.0</v>
      </c>
    </row>
    <row r="60" ht="12.75" customHeight="1">
      <c r="G60" s="113"/>
      <c r="H60" s="114"/>
      <c r="I60" s="46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8">
    <mergeCell ref="A5:A6"/>
    <mergeCell ref="B5:B6"/>
    <mergeCell ref="C5:C6"/>
    <mergeCell ref="D5:E5"/>
    <mergeCell ref="F5:H5"/>
    <mergeCell ref="J5:J6"/>
    <mergeCell ref="A45:A46"/>
    <mergeCell ref="C45:F45"/>
  </mergeCells>
  <conditionalFormatting sqref="B42">
    <cfRule type="cellIs" dxfId="0" priority="1" operator="greaterThan">
      <formula>0</formula>
    </cfRule>
  </conditionalFormatting>
  <conditionalFormatting sqref="B42">
    <cfRule type="cellIs" dxfId="1" priority="2" operator="lessThan">
      <formula>0</formula>
    </cfRule>
  </conditionalFormatting>
  <dataValidations>
    <dataValidation type="list" allowBlank="1" showErrorMessage="1" sqref="K7:K10 K12 K14:K29 K32:K38">
      <formula1>"บิลสมบูรณ์,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B42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4.13"/>
    <col customWidth="1" min="4" max="5" width="15.5"/>
    <col customWidth="1" min="6" max="8" width="14.5"/>
    <col customWidth="1" min="9" max="9" width="15.5"/>
    <col customWidth="1" min="10" max="10" width="17.38"/>
    <col customWidth="1" min="11" max="11" width="38.13"/>
    <col customWidth="1" min="12" max="35" width="8.88"/>
  </cols>
  <sheetData>
    <row r="1">
      <c r="A1" s="1" t="s">
        <v>0</v>
      </c>
      <c r="B1" s="1"/>
      <c r="C1" s="8" t="str">
        <f>template!$C$1</f>
        <v>พฤษภาคม2569</v>
      </c>
      <c r="D1" s="1" t="s">
        <v>4</v>
      </c>
      <c r="E1" s="1">
        <v>10000.0</v>
      </c>
      <c r="F1" s="1"/>
      <c r="G1" s="1" t="s">
        <v>7</v>
      </c>
      <c r="H1" s="14" t="s">
        <v>10</v>
      </c>
      <c r="I1" s="1"/>
      <c r="J1" s="1" t="s">
        <v>11</v>
      </c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15</v>
      </c>
      <c r="B2" s="9"/>
      <c r="C2" s="9" t="s">
        <v>16</v>
      </c>
      <c r="D2" s="13" t="s">
        <v>9</v>
      </c>
      <c r="E2" s="13">
        <v>2000.0</v>
      </c>
      <c r="F2" s="15"/>
      <c r="G2" s="15"/>
      <c r="H2" s="15"/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19</v>
      </c>
      <c r="B3" s="9"/>
      <c r="C3" s="9">
        <v>3.301700588011E12</v>
      </c>
      <c r="D3" s="1" t="s">
        <v>20</v>
      </c>
      <c r="E3" s="9"/>
      <c r="F3" s="15"/>
      <c r="G3" s="16" t="s">
        <v>21</v>
      </c>
      <c r="H3" s="15"/>
      <c r="I3" s="15"/>
      <c r="J3" s="17" t="str">
        <f>'ทะเบียน ประกัน'!C4</f>
        <v>74-5230</v>
      </c>
      <c r="K3" s="17" t="str">
        <f>'ทะเบียน ประกัน'!I4</f>
        <v>74-8395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244444.0</v>
      </c>
      <c r="B7" s="35" t="s">
        <v>41</v>
      </c>
      <c r="C7" s="35">
        <v>34.0</v>
      </c>
      <c r="D7" s="36"/>
      <c r="E7" s="36"/>
      <c r="F7" s="40">
        <v>8100.0</v>
      </c>
      <c r="G7" s="36"/>
      <c r="H7" s="36"/>
      <c r="I7" s="36"/>
      <c r="J7" s="41">
        <f t="shared" ref="J7:J8" si="1">F7/C7</f>
        <v>238.2352941</v>
      </c>
      <c r="K7" s="38" t="s">
        <v>46</v>
      </c>
    </row>
    <row r="8" ht="12.75" customHeight="1">
      <c r="A8" s="34">
        <v>244566.0</v>
      </c>
      <c r="B8" s="35" t="s">
        <v>41</v>
      </c>
      <c r="C8" s="35">
        <v>35.0</v>
      </c>
      <c r="D8" s="36"/>
      <c r="E8" s="36"/>
      <c r="F8" s="40">
        <v>8100.0</v>
      </c>
      <c r="G8" s="36"/>
      <c r="H8" s="36"/>
      <c r="I8" s="41"/>
      <c r="J8" s="41">
        <f t="shared" si="1"/>
        <v>231.4285714</v>
      </c>
      <c r="K8" s="38" t="s">
        <v>46</v>
      </c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</row>
    <row r="9" ht="12.75" customHeight="1">
      <c r="A9" s="34">
        <v>244688.0</v>
      </c>
      <c r="B9" s="35" t="s">
        <v>47</v>
      </c>
      <c r="C9" s="35"/>
      <c r="D9" s="36"/>
      <c r="E9" s="36"/>
      <c r="F9" s="38">
        <v>6520.0</v>
      </c>
      <c r="G9" s="36"/>
      <c r="H9" s="48"/>
      <c r="I9" s="36"/>
      <c r="J9" s="36"/>
      <c r="K9" s="36"/>
      <c r="N9" s="43"/>
    </row>
    <row r="10" ht="12.75" customHeight="1">
      <c r="A10" s="51" t="s">
        <v>48</v>
      </c>
      <c r="B10" s="35" t="s">
        <v>41</v>
      </c>
      <c r="C10" s="35">
        <v>28.0</v>
      </c>
      <c r="D10" s="36"/>
      <c r="E10" s="36"/>
      <c r="F10" s="40">
        <f>8100-940</f>
        <v>7160</v>
      </c>
      <c r="G10" s="48"/>
      <c r="H10" s="36"/>
      <c r="I10" s="41"/>
      <c r="J10" s="41">
        <f>F10/C10</f>
        <v>255.7142857</v>
      </c>
      <c r="K10" s="55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</row>
    <row r="11" ht="12.75" customHeight="1">
      <c r="A11" s="51" t="s">
        <v>48</v>
      </c>
      <c r="B11" s="35" t="s">
        <v>52</v>
      </c>
      <c r="C11" s="42"/>
      <c r="D11" s="36"/>
      <c r="E11" s="36"/>
      <c r="F11" s="57">
        <v>2500.0</v>
      </c>
      <c r="G11" s="48"/>
      <c r="H11" s="42"/>
      <c r="I11" s="36"/>
      <c r="J11" s="41"/>
      <c r="K11" s="36"/>
      <c r="N11" s="43"/>
    </row>
    <row r="12" ht="12.75" customHeight="1">
      <c r="A12" s="51" t="s">
        <v>54</v>
      </c>
      <c r="B12" s="35" t="s">
        <v>41</v>
      </c>
      <c r="C12" s="35">
        <v>34.0</v>
      </c>
      <c r="D12" s="36"/>
      <c r="E12" s="36"/>
      <c r="F12" s="40">
        <v>8100.0</v>
      </c>
      <c r="G12" s="36"/>
      <c r="H12" s="36"/>
      <c r="I12" s="59"/>
      <c r="J12" s="41">
        <f t="shared" ref="J12:J14" si="2">F12/C12</f>
        <v>238.2352941</v>
      </c>
      <c r="K12" s="3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2.75" customHeight="1">
      <c r="A13" s="51" t="s">
        <v>57</v>
      </c>
      <c r="B13" s="35" t="s">
        <v>41</v>
      </c>
      <c r="C13" s="35">
        <v>27.0</v>
      </c>
      <c r="D13" s="36"/>
      <c r="E13" s="36"/>
      <c r="F13" s="61">
        <v>8600.0</v>
      </c>
      <c r="G13" s="36"/>
      <c r="H13" s="36"/>
      <c r="I13" s="63"/>
      <c r="J13" s="41">
        <f t="shared" si="2"/>
        <v>318.5185185</v>
      </c>
      <c r="K13" s="38" t="s">
        <v>59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ht="12.75" customHeight="1">
      <c r="A14" s="51" t="s">
        <v>60</v>
      </c>
      <c r="B14" s="35" t="s">
        <v>41</v>
      </c>
      <c r="C14" s="66">
        <v>36.0</v>
      </c>
      <c r="D14" s="68"/>
      <c r="E14" s="68"/>
      <c r="F14" s="69">
        <f>8600-300</f>
        <v>8300</v>
      </c>
      <c r="G14" s="72"/>
      <c r="H14" s="36"/>
      <c r="I14" s="63"/>
      <c r="J14" s="41">
        <f t="shared" si="2"/>
        <v>230.5555556</v>
      </c>
      <c r="K14" s="63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ht="12.75" customHeight="1">
      <c r="A15" s="53"/>
      <c r="B15" s="74"/>
      <c r="C15" s="42"/>
      <c r="D15" s="36"/>
      <c r="E15" s="36"/>
      <c r="F15" s="36"/>
      <c r="G15" s="48"/>
      <c r="H15" s="36"/>
      <c r="I15" s="41"/>
      <c r="J15" s="41"/>
      <c r="K15" s="41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ht="12.75" customHeight="1">
      <c r="A16" s="53"/>
      <c r="B16" s="71"/>
      <c r="C16" s="42"/>
      <c r="D16" s="36"/>
      <c r="E16" s="36"/>
      <c r="F16" s="36"/>
      <c r="G16" s="48"/>
      <c r="H16" s="36"/>
      <c r="I16" s="41"/>
      <c r="J16" s="41"/>
      <c r="K16" s="41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2.75" customHeight="1">
      <c r="A17" s="53"/>
      <c r="B17" s="42"/>
      <c r="C17" s="58"/>
      <c r="D17" s="59"/>
      <c r="E17" s="59"/>
      <c r="F17" s="59"/>
      <c r="G17" s="59"/>
      <c r="H17" s="60"/>
      <c r="I17" s="36"/>
      <c r="J17" s="36"/>
      <c r="K17" s="36"/>
    </row>
    <row r="18" ht="12.75" customHeight="1">
      <c r="A18" s="53"/>
      <c r="B18" s="56"/>
      <c r="C18" s="58"/>
      <c r="D18" s="59"/>
      <c r="E18" s="59"/>
      <c r="F18" s="59"/>
      <c r="G18" s="59"/>
      <c r="H18" s="60"/>
      <c r="I18" s="36"/>
      <c r="J18" s="36"/>
      <c r="K18" s="36"/>
    </row>
    <row r="19" ht="12.75" customHeight="1">
      <c r="A19" s="53"/>
      <c r="B19" s="62"/>
      <c r="C19" s="64"/>
      <c r="D19" s="63"/>
      <c r="E19" s="63"/>
      <c r="F19" s="63"/>
      <c r="G19" s="65"/>
      <c r="H19" s="68"/>
      <c r="I19" s="36"/>
      <c r="J19" s="36"/>
      <c r="K19" s="36"/>
    </row>
    <row r="20" ht="12.75" customHeight="1">
      <c r="A20" s="53"/>
      <c r="B20" s="62"/>
      <c r="C20" s="64"/>
      <c r="D20" s="63"/>
      <c r="E20" s="63"/>
      <c r="F20" s="63"/>
      <c r="G20" s="65"/>
      <c r="H20" s="68"/>
      <c r="I20" s="36"/>
      <c r="J20" s="36"/>
      <c r="K20" s="36"/>
    </row>
    <row r="21" ht="12.75" customHeight="1">
      <c r="A21" s="53"/>
      <c r="B21" s="71"/>
      <c r="C21" s="82"/>
      <c r="D21" s="41"/>
      <c r="E21" s="41"/>
      <c r="F21" s="41"/>
      <c r="G21" s="41"/>
      <c r="H21" s="84"/>
      <c r="I21" s="36"/>
      <c r="J21" s="36"/>
      <c r="K21" s="36"/>
    </row>
    <row r="22" ht="12.75" customHeight="1">
      <c r="A22" s="53"/>
      <c r="B22" s="71"/>
      <c r="C22" s="42"/>
      <c r="D22" s="36"/>
      <c r="E22" s="36"/>
      <c r="F22" s="36"/>
      <c r="G22" s="48"/>
      <c r="H22" s="36"/>
      <c r="I22" s="36"/>
      <c r="J22" s="36"/>
      <c r="K22" s="36"/>
    </row>
    <row r="23" ht="12.75" customHeight="1">
      <c r="A23" s="42"/>
      <c r="B23" s="42"/>
      <c r="C23" s="42"/>
      <c r="D23" s="36"/>
      <c r="E23" s="36"/>
      <c r="F23" s="48"/>
      <c r="G23" s="36"/>
      <c r="H23" s="36"/>
      <c r="I23" s="36"/>
      <c r="J23" s="36"/>
      <c r="K23" s="36"/>
    </row>
    <row r="24" ht="12.75" customHeight="1">
      <c r="A24" s="87">
        <f>template!$A$48</f>
        <v>244627</v>
      </c>
      <c r="B24" s="42" t="s">
        <v>77</v>
      </c>
      <c r="C24" s="42"/>
      <c r="D24" s="36"/>
      <c r="E24" s="36"/>
      <c r="F24" s="48"/>
      <c r="G24" s="36">
        <f t="shared" ref="G24:G26" si="3">I39</f>
        <v>5000</v>
      </c>
      <c r="H24" s="36"/>
      <c r="I24" s="36"/>
      <c r="J24" s="36"/>
      <c r="K24" s="36"/>
    </row>
    <row r="25" ht="12.75" customHeight="1">
      <c r="A25" s="87" t="str">
        <f>template!$A$49</f>
        <v>20/5/2569</v>
      </c>
      <c r="B25" s="42" t="s">
        <v>77</v>
      </c>
      <c r="C25" s="42"/>
      <c r="D25" s="36"/>
      <c r="E25" s="36"/>
      <c r="F25" s="48"/>
      <c r="G25" s="36">
        <f t="shared" si="3"/>
        <v>0</v>
      </c>
      <c r="H25" s="36"/>
      <c r="I25" s="36"/>
      <c r="J25" s="36"/>
      <c r="K25" s="48"/>
    </row>
    <row r="26" ht="12.75" customHeight="1">
      <c r="A26" s="87" t="str">
        <f>template!$A$50</f>
        <v>30/5/2569</v>
      </c>
      <c r="B26" s="42" t="s">
        <v>77</v>
      </c>
      <c r="C26" s="42"/>
      <c r="D26" s="36"/>
      <c r="E26" s="36"/>
      <c r="F26" s="48"/>
      <c r="G26" s="36">
        <f t="shared" si="3"/>
        <v>14700</v>
      </c>
      <c r="H26" s="36"/>
      <c r="I26" s="36"/>
      <c r="J26" s="36"/>
      <c r="K26" s="36"/>
    </row>
    <row r="27" ht="12.75" customHeight="1">
      <c r="A27" s="87" t="str">
        <f>template!$A$50</f>
        <v>30/5/2569</v>
      </c>
      <c r="B27" s="56" t="s">
        <v>83</v>
      </c>
      <c r="C27" s="58"/>
      <c r="D27" s="59"/>
      <c r="E27" s="59"/>
      <c r="F27" s="59"/>
      <c r="G27" s="59"/>
      <c r="H27" s="60">
        <f>C47+E2</f>
        <v>14000</v>
      </c>
      <c r="I27" s="36"/>
      <c r="J27" s="36"/>
      <c r="K27" s="36"/>
    </row>
    <row r="28" ht="12.75" customHeight="1">
      <c r="A28" s="87" t="str">
        <f>template!$A$50</f>
        <v>30/5/2569</v>
      </c>
      <c r="B28" s="96" t="s">
        <v>84</v>
      </c>
      <c r="C28" s="64"/>
      <c r="D28" s="63"/>
      <c r="E28" s="63"/>
      <c r="F28" s="63"/>
      <c r="G28" s="97">
        <v>0.0</v>
      </c>
      <c r="H28" s="68"/>
      <c r="I28" s="36"/>
      <c r="J28" s="36"/>
      <c r="K28" s="36"/>
    </row>
    <row r="29" ht="12.75" customHeight="1">
      <c r="A29" s="87" t="str">
        <f>template!$A$50</f>
        <v>30/5/2569</v>
      </c>
      <c r="B29" s="62" t="s">
        <v>85</v>
      </c>
      <c r="C29" s="64"/>
      <c r="D29" s="63"/>
      <c r="E29" s="63"/>
      <c r="F29" s="63"/>
      <c r="G29" s="65">
        <f>G41</f>
        <v>5000</v>
      </c>
      <c r="H29" s="68"/>
      <c r="I29" s="36"/>
      <c r="J29" s="36"/>
      <c r="K29" s="36"/>
    </row>
    <row r="30" ht="12.75" customHeight="1">
      <c r="A30" s="87" t="str">
        <f>template!$A$50</f>
        <v>30/5/2569</v>
      </c>
      <c r="B30" s="71" t="s">
        <v>11</v>
      </c>
      <c r="C30" s="82"/>
      <c r="D30" s="41"/>
      <c r="E30" s="41"/>
      <c r="F30" s="41"/>
      <c r="G30" s="41"/>
      <c r="H30" s="84">
        <f>C52</f>
        <v>-875</v>
      </c>
      <c r="I30" s="36"/>
      <c r="J30" s="36"/>
      <c r="K30" s="36"/>
    </row>
    <row r="31" ht="12.75" customHeight="1">
      <c r="A31" s="93"/>
      <c r="B31" s="93"/>
      <c r="C31" s="95"/>
      <c r="D31" s="30">
        <f t="shared" ref="D31:H31" si="4">SUM(D7:D30)</f>
        <v>0</v>
      </c>
      <c r="E31" s="30">
        <f t="shared" si="4"/>
        <v>0</v>
      </c>
      <c r="F31" s="30">
        <f t="shared" si="4"/>
        <v>57380</v>
      </c>
      <c r="G31" s="30">
        <f t="shared" si="4"/>
        <v>24700</v>
      </c>
      <c r="H31" s="30">
        <f t="shared" si="4"/>
        <v>13125</v>
      </c>
      <c r="I31" s="30"/>
      <c r="J31" s="30">
        <f>SUM(J7:J30)</f>
        <v>1512.687519</v>
      </c>
      <c r="K31" s="98"/>
    </row>
    <row r="32" ht="12.75" customHeight="1">
      <c r="A32" s="46" t="s">
        <v>98</v>
      </c>
      <c r="B32" s="99">
        <f>H27+G28+G29+H30</f>
        <v>18125</v>
      </c>
      <c r="C32" s="100" t="s">
        <v>88</v>
      </c>
      <c r="D32" s="101">
        <f>SUMIF(B7:B30, "*"&amp;"น้ำมัน"&amp;"*", F7:F30)</f>
        <v>48360</v>
      </c>
    </row>
    <row r="33" ht="12.75" customHeight="1">
      <c r="A33" s="46" t="s">
        <v>90</v>
      </c>
      <c r="B33" s="99">
        <f>sum(F31:H31)</f>
        <v>95205</v>
      </c>
      <c r="C33" s="100" t="s">
        <v>92</v>
      </c>
      <c r="D33" s="101">
        <f>F31-D32</f>
        <v>9020</v>
      </c>
    </row>
    <row r="34" ht="12.75" customHeight="1">
      <c r="A34" s="100" t="s">
        <v>93</v>
      </c>
      <c r="B34" s="101">
        <f>J41-B33</f>
        <v>31227.9</v>
      </c>
    </row>
    <row r="35" ht="12.75" customHeight="1"/>
    <row r="36" ht="12.75" customHeight="1"/>
    <row r="37" ht="12.75" customHeight="1">
      <c r="A37" s="19" t="s">
        <v>23</v>
      </c>
      <c r="B37" s="30"/>
      <c r="C37" s="21" t="s">
        <v>95</v>
      </c>
      <c r="D37" s="23"/>
      <c r="E37" s="23"/>
      <c r="F37" s="22"/>
      <c r="G37" s="82"/>
      <c r="H37" s="82"/>
      <c r="I37" s="70"/>
      <c r="J37" s="82"/>
      <c r="K37" s="82" t="s">
        <v>97</v>
      </c>
      <c r="L37" s="82" t="s">
        <v>99</v>
      </c>
      <c r="M37" s="82" t="s">
        <v>26</v>
      </c>
    </row>
    <row r="38" ht="12.75" customHeight="1">
      <c r="A38" s="29"/>
      <c r="B38" s="30" t="s">
        <v>100</v>
      </c>
      <c r="C38" s="30" t="s">
        <v>101</v>
      </c>
      <c r="D38" s="30" t="s">
        <v>102</v>
      </c>
      <c r="E38" s="30" t="s">
        <v>103</v>
      </c>
      <c r="F38" s="30" t="s">
        <v>104</v>
      </c>
      <c r="G38" s="21" t="s">
        <v>85</v>
      </c>
      <c r="H38" s="102" t="s">
        <v>105</v>
      </c>
      <c r="I38" s="102" t="s">
        <v>106</v>
      </c>
      <c r="J38" s="103" t="s">
        <v>107</v>
      </c>
      <c r="K38" s="82" t="s">
        <v>101</v>
      </c>
      <c r="L38" s="82">
        <v>100.0</v>
      </c>
      <c r="M38" s="82">
        <v>630.0</v>
      </c>
    </row>
    <row r="39" ht="12.75" customHeight="1">
      <c r="A39" s="87">
        <f>template!$A$48</f>
        <v>244627</v>
      </c>
      <c r="B39" s="104"/>
      <c r="C39" s="115">
        <v>52.0</v>
      </c>
      <c r="D39" s="115">
        <v>25.0</v>
      </c>
      <c r="E39" s="104"/>
      <c r="F39" s="104">
        <f t="shared" ref="F39:F41" si="5">sum(B39:E39)</f>
        <v>77</v>
      </c>
      <c r="G39" s="105">
        <v>0.0</v>
      </c>
      <c r="H39" s="106">
        <f t="shared" ref="H39:H41" si="6">F39*$L$38</f>
        <v>7700</v>
      </c>
      <c r="I39" s="119">
        <v>5000.0</v>
      </c>
      <c r="J39" s="82">
        <f t="shared" ref="J39:J41" si="7">0.99*(((B39+C39)*$M$38)+(D39*$M$39)+(E39*$M$40))</f>
        <v>49262.4</v>
      </c>
      <c r="K39" s="82" t="s">
        <v>102</v>
      </c>
      <c r="L39" s="82">
        <v>100.0</v>
      </c>
      <c r="M39" s="82">
        <v>680.0</v>
      </c>
    </row>
    <row r="40" ht="12.75" customHeight="1">
      <c r="A40" s="87" t="str">
        <f>template!$A$49</f>
        <v>20/5/2569</v>
      </c>
      <c r="B40" s="104"/>
      <c r="C40" s="104"/>
      <c r="D40" s="104"/>
      <c r="E40" s="104"/>
      <c r="F40" s="104">
        <f t="shared" si="5"/>
        <v>0</v>
      </c>
      <c r="G40" s="105">
        <v>0.0</v>
      </c>
      <c r="H40" s="106">
        <f t="shared" si="6"/>
        <v>0</v>
      </c>
      <c r="I40" s="121">
        <v>0.0</v>
      </c>
      <c r="J40" s="82">
        <f t="shared" si="7"/>
        <v>0</v>
      </c>
      <c r="K40" s="82" t="s">
        <v>103</v>
      </c>
      <c r="L40" s="82">
        <v>100.0</v>
      </c>
      <c r="M40" s="82">
        <v>680.0</v>
      </c>
    </row>
    <row r="41" ht="12.75" customHeight="1">
      <c r="A41" s="87" t="str">
        <f>template!$A$50</f>
        <v>30/5/2569</v>
      </c>
      <c r="B41" s="115">
        <v>2.0</v>
      </c>
      <c r="C41" s="115">
        <v>123.0</v>
      </c>
      <c r="D41" s="115">
        <v>72.0</v>
      </c>
      <c r="E41" s="104"/>
      <c r="F41" s="104">
        <f t="shared" si="5"/>
        <v>197</v>
      </c>
      <c r="G41" s="122">
        <f>IF(F41&lt;150, 0, ((INT(F41/10)*10 - 140) / 10) * 1000)</f>
        <v>5000</v>
      </c>
      <c r="H41" s="106">
        <f t="shared" si="6"/>
        <v>19700</v>
      </c>
      <c r="I41" s="121">
        <v>14700.0</v>
      </c>
      <c r="J41" s="82">
        <f t="shared" si="7"/>
        <v>126432.9</v>
      </c>
    </row>
    <row r="42" ht="12.75" customHeight="1">
      <c r="B42" s="109"/>
      <c r="C42" s="110"/>
      <c r="D42" s="110"/>
      <c r="E42" s="110"/>
      <c r="F42" s="110"/>
      <c r="G42" s="111" t="s">
        <v>109</v>
      </c>
      <c r="H42" s="111"/>
      <c r="I42" s="112">
        <f>SUM(I39:I41)</f>
        <v>19700</v>
      </c>
      <c r="J42" s="111"/>
      <c r="L42" s="100" t="s">
        <v>110</v>
      </c>
    </row>
    <row r="43" ht="12.75" customHeight="1">
      <c r="G43" s="113" t="s">
        <v>111</v>
      </c>
      <c r="H43" s="114">
        <f>H41-I42</f>
        <v>0</v>
      </c>
      <c r="I43" s="46"/>
      <c r="L43" s="100">
        <v>150.0</v>
      </c>
      <c r="M43" s="100">
        <v>1000.0</v>
      </c>
    </row>
    <row r="44" ht="12.75" customHeight="1">
      <c r="L44" s="100">
        <v>160.0</v>
      </c>
      <c r="M44" s="100">
        <v>2000.0</v>
      </c>
    </row>
    <row r="45" ht="18.75" customHeight="1">
      <c r="B45" s="100" t="s">
        <v>112</v>
      </c>
      <c r="C45" s="123" t="str">
        <f>C2</f>
        <v>บุญโลม ผุยเพ็ง</v>
      </c>
      <c r="L45" s="100">
        <v>170.0</v>
      </c>
      <c r="M45" s="100">
        <v>3000.0</v>
      </c>
    </row>
    <row r="46" ht="12.75" customHeight="1">
      <c r="B46" s="100" t="s">
        <v>113</v>
      </c>
      <c r="L46" s="100">
        <v>180.0</v>
      </c>
      <c r="M46" s="100">
        <v>4000.0</v>
      </c>
    </row>
    <row r="47" ht="12.75" customHeight="1">
      <c r="B47" s="100" t="s">
        <v>114</v>
      </c>
      <c r="C47" s="125">
        <f>IF(F$41&gt;120, E$1, E$1-2000) +E2</f>
        <v>12000</v>
      </c>
      <c r="L47" s="100">
        <v>190.0</v>
      </c>
      <c r="M47" s="100">
        <v>5000.0</v>
      </c>
    </row>
    <row r="48" ht="12.75" customHeight="1">
      <c r="B48" s="100" t="s">
        <v>115</v>
      </c>
      <c r="C48" s="122">
        <f>H41</f>
        <v>19700</v>
      </c>
      <c r="L48" s="100">
        <v>200.0</v>
      </c>
      <c r="M48" s="100">
        <v>6000.0</v>
      </c>
    </row>
    <row r="49" ht="12.75" customHeight="1">
      <c r="B49" s="100" t="s">
        <v>85</v>
      </c>
      <c r="C49" s="122">
        <f>G41</f>
        <v>5000</v>
      </c>
      <c r="L49" s="100">
        <v>210.0</v>
      </c>
      <c r="M49" s="100">
        <v>7000.0</v>
      </c>
    </row>
    <row r="50" ht="12.75" customHeight="1">
      <c r="B50" s="126"/>
      <c r="C50" s="122"/>
      <c r="L50" s="100">
        <v>220.0</v>
      </c>
      <c r="M50" s="100">
        <v>8000.0</v>
      </c>
    </row>
    <row r="51" ht="12.75" customHeight="1">
      <c r="B51" s="127" t="s">
        <v>116</v>
      </c>
      <c r="C51" s="128">
        <f>sum(C47:C50)</f>
        <v>36700</v>
      </c>
      <c r="L51" s="100">
        <v>230.0</v>
      </c>
      <c r="M51" s="100">
        <v>9000.0</v>
      </c>
    </row>
    <row r="52" ht="12.75" customHeight="1">
      <c r="B52" s="127" t="s">
        <v>117</v>
      </c>
      <c r="C52" s="127">
        <f>-MIN(C51*5%, 875)</f>
        <v>-875</v>
      </c>
    </row>
    <row r="53" ht="12.75" customHeight="1">
      <c r="B53" s="129" t="s">
        <v>118</v>
      </c>
      <c r="C53" s="127">
        <f t="shared" ref="C53:C54" si="8">-I39</f>
        <v>-5000</v>
      </c>
    </row>
    <row r="54" ht="12.75" customHeight="1">
      <c r="B54" s="129" t="s">
        <v>120</v>
      </c>
      <c r="C54" s="127">
        <f t="shared" si="8"/>
        <v>0</v>
      </c>
    </row>
    <row r="55" ht="12.75" customHeight="1">
      <c r="B55" s="100" t="s">
        <v>121</v>
      </c>
      <c r="C55" s="122">
        <f>sum(C51:C54)</f>
        <v>30825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8">
    <mergeCell ref="A5:A6"/>
    <mergeCell ref="B5:B6"/>
    <mergeCell ref="C5:C6"/>
    <mergeCell ref="D5:E5"/>
    <mergeCell ref="F5:H5"/>
    <mergeCell ref="J5:J6"/>
    <mergeCell ref="A37:A38"/>
    <mergeCell ref="C37:F37"/>
  </mergeCells>
  <conditionalFormatting sqref="B34">
    <cfRule type="cellIs" dxfId="0" priority="1" operator="greaterThan">
      <formula>0</formula>
    </cfRule>
  </conditionalFormatting>
  <conditionalFormatting sqref="B34">
    <cfRule type="cellIs" dxfId="1" priority="2" operator="lessThan">
      <formula>0</formula>
    </cfRule>
  </conditionalFormatting>
  <dataValidations>
    <dataValidation type="list" allowBlank="1" showErrorMessage="1" sqref="K14:K16">
      <formula1>"บิลสมบูรณ์,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K10">
      <formula1>"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B34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4.13"/>
    <col customWidth="1" min="4" max="5" width="15.5"/>
    <col customWidth="1" min="6" max="8" width="14.5"/>
    <col customWidth="1" min="9" max="9" width="15.5"/>
    <col customWidth="1" min="10" max="10" width="17.75"/>
    <col customWidth="1" min="11" max="11" width="38.13"/>
    <col customWidth="1" min="12" max="35" width="8.88"/>
  </cols>
  <sheetData>
    <row r="1">
      <c r="A1" s="1" t="s">
        <v>2</v>
      </c>
      <c r="B1" s="1"/>
      <c r="C1" s="1" t="str">
        <f>template!$C$1</f>
        <v>พฤษภาคม2569</v>
      </c>
      <c r="D1" s="1" t="s">
        <v>4</v>
      </c>
      <c r="E1" s="1">
        <v>10000.0</v>
      </c>
      <c r="F1" s="1"/>
      <c r="H1" s="1"/>
      <c r="I1" s="1"/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17</v>
      </c>
      <c r="B2" s="9"/>
      <c r="C2" s="15" t="s">
        <v>18</v>
      </c>
      <c r="D2" s="13" t="s">
        <v>9</v>
      </c>
      <c r="E2" s="13">
        <v>2000.0</v>
      </c>
      <c r="F2" s="15"/>
      <c r="G2" s="15">
        <v>7.291029065E9</v>
      </c>
      <c r="H2" s="15"/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22</v>
      </c>
      <c r="B3" s="9"/>
      <c r="C3" s="9"/>
      <c r="D3" s="1" t="s">
        <v>24</v>
      </c>
      <c r="E3" s="9"/>
      <c r="F3" s="15"/>
      <c r="G3" s="15"/>
      <c r="H3" s="15"/>
      <c r="I3" s="17" t="str">
        <f>'ทะเบียน ประกัน'!C5</f>
        <v>73-3382</v>
      </c>
      <c r="J3" s="17" t="str">
        <f>'ทะเบียน ประกัน'!I5</f>
        <v>73-7154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244354.0</v>
      </c>
      <c r="B7" s="35" t="s">
        <v>42</v>
      </c>
      <c r="C7" s="35"/>
      <c r="D7" s="36"/>
      <c r="E7" s="36"/>
      <c r="F7" s="38">
        <v>9735.0</v>
      </c>
      <c r="G7" s="36"/>
      <c r="H7" s="36"/>
      <c r="I7" s="36"/>
      <c r="J7" s="41"/>
      <c r="K7" s="38" t="s">
        <v>44</v>
      </c>
      <c r="N7" s="43"/>
    </row>
    <row r="8" ht="12.75" customHeight="1">
      <c r="A8" s="34">
        <v>244385.0</v>
      </c>
      <c r="B8" s="35" t="s">
        <v>45</v>
      </c>
      <c r="C8" s="42"/>
      <c r="D8" s="36"/>
      <c r="E8" s="36"/>
      <c r="F8" s="38">
        <v>100.0</v>
      </c>
      <c r="G8" s="36"/>
      <c r="H8" s="36"/>
      <c r="I8" s="36"/>
      <c r="J8" s="36"/>
      <c r="K8" s="45"/>
      <c r="N8" s="43"/>
    </row>
    <row r="9" ht="12.75" customHeight="1">
      <c r="A9" s="34">
        <v>244385.0</v>
      </c>
      <c r="B9" s="35" t="s">
        <v>41</v>
      </c>
      <c r="C9" s="35">
        <v>34.0</v>
      </c>
      <c r="D9" s="36"/>
      <c r="E9" s="36"/>
      <c r="F9" s="40">
        <v>8600.0</v>
      </c>
      <c r="G9" s="36"/>
      <c r="H9" s="36"/>
      <c r="I9" s="36"/>
      <c r="J9" s="41">
        <f>F9/C9</f>
        <v>252.9411765</v>
      </c>
      <c r="K9" s="38" t="s">
        <v>44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</row>
    <row r="10" ht="12.75" customHeight="1">
      <c r="A10" s="34">
        <v>244413.0</v>
      </c>
      <c r="B10" s="35" t="s">
        <v>49</v>
      </c>
      <c r="C10" s="42"/>
      <c r="D10" s="36"/>
      <c r="E10" s="48"/>
      <c r="F10" s="38">
        <v>400.0</v>
      </c>
      <c r="G10" s="36"/>
      <c r="H10" s="48"/>
      <c r="I10" s="41"/>
      <c r="J10" s="36"/>
      <c r="K10" s="45"/>
    </row>
    <row r="11" ht="12.75" customHeight="1">
      <c r="A11" s="34">
        <v>244474.0</v>
      </c>
      <c r="B11" s="35" t="s">
        <v>51</v>
      </c>
      <c r="C11" s="35"/>
      <c r="D11" s="36"/>
      <c r="E11" s="36"/>
      <c r="F11" s="38">
        <v>810.0</v>
      </c>
      <c r="G11" s="48"/>
      <c r="H11" s="36"/>
      <c r="I11" s="36"/>
      <c r="J11" s="41"/>
      <c r="K11" s="38" t="s">
        <v>46</v>
      </c>
      <c r="N11" s="43"/>
    </row>
    <row r="12" ht="12.75" customHeight="1">
      <c r="A12" s="34">
        <v>244505.0</v>
      </c>
      <c r="B12" s="35" t="s">
        <v>41</v>
      </c>
      <c r="C12" s="35">
        <v>38.0</v>
      </c>
      <c r="D12" s="36"/>
      <c r="E12" s="36"/>
      <c r="F12" s="61">
        <f>8600-300</f>
        <v>8300</v>
      </c>
      <c r="G12" s="48"/>
      <c r="H12" s="42"/>
      <c r="I12" s="36"/>
      <c r="J12" s="41">
        <f>F12/C12</f>
        <v>218.4210526</v>
      </c>
      <c r="K12" s="38" t="s">
        <v>46</v>
      </c>
      <c r="N12" s="43"/>
    </row>
    <row r="13" ht="12.75" customHeight="1">
      <c r="A13" s="34">
        <v>244627.0</v>
      </c>
      <c r="B13" s="67" t="s">
        <v>62</v>
      </c>
      <c r="C13" s="42"/>
      <c r="D13" s="36"/>
      <c r="E13" s="48"/>
      <c r="F13" s="38">
        <v>688.5</v>
      </c>
      <c r="G13" s="36"/>
      <c r="H13" s="36"/>
      <c r="I13" s="36"/>
      <c r="J13" s="36"/>
      <c r="K13" s="36"/>
    </row>
    <row r="14" ht="12.75" customHeight="1">
      <c r="A14" s="34">
        <v>244627.0</v>
      </c>
      <c r="B14" s="35" t="s">
        <v>63</v>
      </c>
      <c r="C14" s="70"/>
      <c r="D14" s="68"/>
      <c r="E14" s="68"/>
      <c r="F14" s="73">
        <v>3500.0</v>
      </c>
      <c r="G14" s="72"/>
      <c r="H14" s="36"/>
      <c r="I14" s="36"/>
      <c r="J14" s="36"/>
      <c r="K14" s="36"/>
    </row>
    <row r="15" ht="12.75" customHeight="1">
      <c r="A15" s="34">
        <v>244658.0</v>
      </c>
      <c r="B15" s="35" t="s">
        <v>41</v>
      </c>
      <c r="C15" s="42"/>
      <c r="D15" s="36"/>
      <c r="E15" s="36"/>
      <c r="F15" s="40">
        <v>8300.0</v>
      </c>
      <c r="G15" s="48"/>
      <c r="H15" s="36"/>
      <c r="I15" s="36"/>
      <c r="J15" s="41"/>
      <c r="K15" s="36"/>
    </row>
    <row r="16" ht="12.75" customHeight="1">
      <c r="A16" s="34">
        <v>244688.0</v>
      </c>
      <c r="B16" s="35" t="s">
        <v>67</v>
      </c>
      <c r="C16" s="35"/>
      <c r="D16" s="36"/>
      <c r="E16" s="36"/>
      <c r="F16" s="38">
        <v>6520.0</v>
      </c>
      <c r="G16" s="48"/>
      <c r="H16" s="36"/>
      <c r="I16" s="63"/>
      <c r="J16" s="41"/>
      <c r="K16" s="63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2.75" customHeight="1">
      <c r="A17" s="51" t="s">
        <v>48</v>
      </c>
      <c r="B17" s="76" t="s">
        <v>70</v>
      </c>
      <c r="C17" s="58"/>
      <c r="D17" s="59"/>
      <c r="E17" s="59"/>
      <c r="F17" s="80">
        <v>180.0</v>
      </c>
      <c r="G17" s="59"/>
      <c r="H17" s="60"/>
      <c r="I17" s="36"/>
      <c r="J17" s="36"/>
      <c r="K17" s="36"/>
    </row>
    <row r="18" ht="12.75" customHeight="1">
      <c r="A18" s="51" t="s">
        <v>72</v>
      </c>
      <c r="B18" s="35" t="s">
        <v>73</v>
      </c>
      <c r="C18" s="64"/>
      <c r="D18" s="63"/>
      <c r="E18" s="63"/>
      <c r="F18" s="81">
        <v>3050.0</v>
      </c>
      <c r="G18" s="65"/>
      <c r="H18" s="41"/>
      <c r="I18" s="36"/>
      <c r="J18" s="36"/>
      <c r="K18" s="36"/>
    </row>
    <row r="19" ht="12.75" customHeight="1">
      <c r="A19" s="51" t="s">
        <v>72</v>
      </c>
      <c r="B19" s="67" t="s">
        <v>74</v>
      </c>
      <c r="C19" s="42"/>
      <c r="D19" s="36"/>
      <c r="E19" s="36"/>
      <c r="F19" s="38">
        <v>600.0</v>
      </c>
      <c r="G19" s="48"/>
      <c r="H19" s="36"/>
      <c r="I19" s="36"/>
      <c r="J19" s="36"/>
      <c r="K19" s="36"/>
    </row>
    <row r="20" ht="12.75" customHeight="1">
      <c r="A20" s="51" t="s">
        <v>54</v>
      </c>
      <c r="B20" s="35" t="s">
        <v>41</v>
      </c>
      <c r="C20" s="35">
        <v>36.0</v>
      </c>
      <c r="D20" s="36"/>
      <c r="E20" s="36"/>
      <c r="F20" s="40">
        <v>8600.0</v>
      </c>
      <c r="G20" s="36"/>
      <c r="H20" s="36"/>
      <c r="I20" s="36"/>
      <c r="J20" s="41">
        <f>F20/C20</f>
        <v>238.8888889</v>
      </c>
      <c r="K20" s="36"/>
    </row>
    <row r="21" ht="12.75" customHeight="1">
      <c r="A21" s="85" t="s">
        <v>57</v>
      </c>
      <c r="B21" s="74" t="s">
        <v>76</v>
      </c>
      <c r="C21" s="82"/>
      <c r="D21" s="41"/>
      <c r="E21" s="41"/>
      <c r="F21" s="84">
        <v>1699.55</v>
      </c>
      <c r="G21" s="36"/>
      <c r="H21" s="36"/>
      <c r="I21" s="36"/>
      <c r="J21" s="36"/>
      <c r="K21" s="36"/>
    </row>
    <row r="22" ht="12.75" customHeight="1">
      <c r="A22" s="51" t="s">
        <v>57</v>
      </c>
      <c r="B22" s="35" t="s">
        <v>41</v>
      </c>
      <c r="C22" s="35">
        <v>38.0</v>
      </c>
      <c r="D22" s="36"/>
      <c r="E22" s="36"/>
      <c r="F22" s="61">
        <v>8500.0</v>
      </c>
      <c r="G22" s="36"/>
      <c r="H22" s="36"/>
      <c r="I22" s="36"/>
      <c r="J22" s="41">
        <f>F22/C22</f>
        <v>223.6842105</v>
      </c>
      <c r="K22" s="36"/>
    </row>
    <row r="23" ht="12.75" customHeight="1">
      <c r="A23" s="88" t="s">
        <v>78</v>
      </c>
      <c r="B23" s="89" t="s">
        <v>79</v>
      </c>
      <c r="C23" s="82"/>
      <c r="D23" s="84"/>
      <c r="E23" s="36"/>
      <c r="F23" s="57">
        <v>1500.0</v>
      </c>
      <c r="G23" s="36"/>
      <c r="H23" s="36"/>
      <c r="I23" s="36"/>
      <c r="J23" s="36"/>
      <c r="K23" s="36"/>
    </row>
    <row r="24" ht="12.75" customHeight="1">
      <c r="A24" s="91" t="s">
        <v>80</v>
      </c>
      <c r="B24" s="35" t="s">
        <v>41</v>
      </c>
      <c r="C24" s="92">
        <v>36.0</v>
      </c>
      <c r="D24" s="84"/>
      <c r="E24" s="36"/>
      <c r="F24" s="61">
        <v>8500.0</v>
      </c>
      <c r="G24" s="36"/>
      <c r="H24" s="36"/>
      <c r="I24" s="36"/>
      <c r="J24" s="41">
        <f>F24/C24</f>
        <v>236.1111111</v>
      </c>
      <c r="K24" s="36"/>
    </row>
    <row r="25" ht="12.75" customHeight="1">
      <c r="A25" s="87">
        <f>template!$A$48</f>
        <v>244627</v>
      </c>
      <c r="B25" s="42" t="s">
        <v>77</v>
      </c>
      <c r="C25" s="42"/>
      <c r="D25" s="36"/>
      <c r="E25" s="36"/>
      <c r="F25" s="48"/>
      <c r="G25" s="36">
        <f t="shared" ref="G25:G27" si="1">I40</f>
        <v>8000</v>
      </c>
      <c r="H25" s="36"/>
      <c r="I25" s="36"/>
      <c r="J25" s="36"/>
      <c r="K25" s="36"/>
    </row>
    <row r="26" ht="12.75" customHeight="1">
      <c r="A26" s="87" t="str">
        <f>template!$A$49</f>
        <v>20/5/2569</v>
      </c>
      <c r="B26" s="42" t="s">
        <v>77</v>
      </c>
      <c r="C26" s="42"/>
      <c r="D26" s="36"/>
      <c r="E26" s="36"/>
      <c r="F26" s="48"/>
      <c r="G26" s="36">
        <f t="shared" si="1"/>
        <v>6200</v>
      </c>
      <c r="H26" s="36"/>
      <c r="I26" s="36"/>
      <c r="J26" s="36"/>
      <c r="K26" s="36"/>
    </row>
    <row r="27" ht="12.75" customHeight="1">
      <c r="A27" s="87" t="str">
        <f>template!$A$50</f>
        <v>30/5/2569</v>
      </c>
      <c r="B27" s="42" t="s">
        <v>77</v>
      </c>
      <c r="C27" s="42"/>
      <c r="D27" s="36"/>
      <c r="E27" s="36"/>
      <c r="F27" s="48"/>
      <c r="G27" s="36">
        <f t="shared" si="1"/>
        <v>8900</v>
      </c>
      <c r="H27" s="36"/>
      <c r="I27" s="36"/>
      <c r="J27" s="36"/>
      <c r="K27" s="36"/>
    </row>
    <row r="28" ht="12.75" customHeight="1">
      <c r="A28" s="87" t="str">
        <f>template!$A$50</f>
        <v>30/5/2569</v>
      </c>
      <c r="B28" s="56" t="s">
        <v>83</v>
      </c>
      <c r="C28" s="58"/>
      <c r="D28" s="59"/>
      <c r="E28" s="59"/>
      <c r="F28" s="59"/>
      <c r="G28" s="59"/>
      <c r="H28" s="60">
        <f>C48+E2</f>
        <v>14000</v>
      </c>
      <c r="I28" s="36"/>
      <c r="J28" s="36"/>
      <c r="K28" s="36"/>
    </row>
    <row r="29" ht="12.75" customHeight="1">
      <c r="A29" s="87" t="str">
        <f>template!$A$50</f>
        <v>30/5/2569</v>
      </c>
      <c r="B29" s="96" t="s">
        <v>91</v>
      </c>
      <c r="C29" s="64"/>
      <c r="D29" s="63"/>
      <c r="E29" s="63"/>
      <c r="F29" s="63"/>
      <c r="G29" s="97">
        <v>0.0</v>
      </c>
      <c r="H29" s="68"/>
      <c r="I29" s="36"/>
      <c r="J29" s="36"/>
      <c r="K29" s="36"/>
    </row>
    <row r="30" ht="12.75" customHeight="1">
      <c r="A30" s="87" t="str">
        <f>template!$A$50</f>
        <v>30/5/2569</v>
      </c>
      <c r="B30" s="62" t="s">
        <v>85</v>
      </c>
      <c r="C30" s="64"/>
      <c r="D30" s="63"/>
      <c r="E30" s="63"/>
      <c r="F30" s="63"/>
      <c r="G30" s="65">
        <f>G42</f>
        <v>9000</v>
      </c>
      <c r="H30" s="68"/>
      <c r="I30" s="36"/>
      <c r="J30" s="36"/>
      <c r="K30" s="36"/>
    </row>
    <row r="31" ht="12.75" customHeight="1">
      <c r="A31" s="87" t="str">
        <f>template!$A$50</f>
        <v>30/5/2569</v>
      </c>
      <c r="B31" s="71" t="s">
        <v>96</v>
      </c>
      <c r="C31" s="82"/>
      <c r="D31" s="41"/>
      <c r="E31" s="41"/>
      <c r="F31" s="41"/>
      <c r="G31" s="41"/>
      <c r="H31" s="84">
        <f>C53</f>
        <v>-1323</v>
      </c>
      <c r="I31" s="36"/>
      <c r="J31" s="36"/>
      <c r="K31" s="36"/>
    </row>
    <row r="32" ht="12.75" customHeight="1">
      <c r="A32" s="93"/>
      <c r="B32" s="93"/>
      <c r="C32" s="95"/>
      <c r="D32" s="30">
        <f t="shared" ref="D32:H32" si="2">SUM(D7:D31)</f>
        <v>0</v>
      </c>
      <c r="E32" s="30">
        <f t="shared" si="2"/>
        <v>0</v>
      </c>
      <c r="F32" s="30">
        <f t="shared" si="2"/>
        <v>79583.05</v>
      </c>
      <c r="G32" s="30">
        <f t="shared" si="2"/>
        <v>32100</v>
      </c>
      <c r="H32" s="30">
        <f t="shared" si="2"/>
        <v>12677</v>
      </c>
      <c r="I32" s="30"/>
      <c r="J32" s="30">
        <f>SUM(J7:J31)</f>
        <v>1170.04644</v>
      </c>
      <c r="K32" s="98"/>
    </row>
    <row r="33" ht="12.75" customHeight="1">
      <c r="A33" s="46" t="s">
        <v>98</v>
      </c>
      <c r="B33" s="99">
        <f>H28+G29+G30+H31</f>
        <v>21677</v>
      </c>
      <c r="C33" s="100" t="s">
        <v>88</v>
      </c>
      <c r="D33" s="101">
        <f>SUMIF(B7:B31, "*"&amp;"น้ำมัน"&amp;"*", F7:F31)</f>
        <v>51400</v>
      </c>
    </row>
    <row r="34" ht="12.75" customHeight="1">
      <c r="A34" s="46" t="s">
        <v>90</v>
      </c>
      <c r="B34" s="99">
        <f>sum(F32:H32)</f>
        <v>124360.05</v>
      </c>
      <c r="C34" s="100" t="s">
        <v>92</v>
      </c>
      <c r="D34" s="101">
        <f>F32-D33</f>
        <v>28183.05</v>
      </c>
    </row>
    <row r="35" ht="12.75" customHeight="1">
      <c r="A35" s="100" t="s">
        <v>93</v>
      </c>
      <c r="B35" s="101">
        <f>J42-B34</f>
        <v>23179.65</v>
      </c>
    </row>
    <row r="36" ht="12.75" customHeight="1"/>
    <row r="37" ht="12.75" customHeight="1"/>
    <row r="38" ht="12.75" customHeight="1">
      <c r="A38" s="19" t="s">
        <v>23</v>
      </c>
      <c r="B38" s="30"/>
      <c r="C38" s="21" t="s">
        <v>95</v>
      </c>
      <c r="D38" s="23"/>
      <c r="E38" s="23"/>
      <c r="F38" s="22"/>
      <c r="G38" s="82"/>
      <c r="H38" s="82"/>
      <c r="I38" s="70"/>
      <c r="J38" s="82"/>
      <c r="K38" s="82" t="s">
        <v>97</v>
      </c>
      <c r="L38" s="82" t="s">
        <v>99</v>
      </c>
      <c r="M38" s="82" t="s">
        <v>26</v>
      </c>
    </row>
    <row r="39" ht="12.75" customHeight="1">
      <c r="A39" s="29"/>
      <c r="B39" s="30" t="s">
        <v>100</v>
      </c>
      <c r="C39" s="30" t="s">
        <v>101</v>
      </c>
      <c r="D39" s="30" t="s">
        <v>102</v>
      </c>
      <c r="E39" s="30" t="s">
        <v>103</v>
      </c>
      <c r="F39" s="30" t="s">
        <v>104</v>
      </c>
      <c r="G39" s="21" t="s">
        <v>85</v>
      </c>
      <c r="H39" s="102" t="s">
        <v>105</v>
      </c>
      <c r="I39" s="102" t="s">
        <v>106</v>
      </c>
      <c r="J39" s="24" t="s">
        <v>107</v>
      </c>
      <c r="K39" s="82" t="s">
        <v>101</v>
      </c>
      <c r="L39" s="82">
        <v>100.0</v>
      </c>
      <c r="M39" s="82">
        <v>630.0</v>
      </c>
    </row>
    <row r="40" ht="12.75" customHeight="1">
      <c r="A40" s="87">
        <f>template!$A$48</f>
        <v>244627</v>
      </c>
      <c r="B40" s="104"/>
      <c r="C40" s="115">
        <v>59.0</v>
      </c>
      <c r="D40" s="115">
        <v>22.0</v>
      </c>
      <c r="E40" s="104"/>
      <c r="F40" s="104">
        <f t="shared" ref="F40:F42" si="3">sum(B40:E40)</f>
        <v>81</v>
      </c>
      <c r="G40" s="105">
        <v>0.0</v>
      </c>
      <c r="H40" s="106">
        <f t="shared" ref="H40:H42" si="4">F40*$L$39</f>
        <v>8100</v>
      </c>
      <c r="I40" s="120">
        <v>8000.0</v>
      </c>
      <c r="J40" s="82">
        <f t="shared" ref="J40:J42" si="5">0.99*(((B40+C40)*$M$39)+(D40*$M$40)+(E40*$M$41))</f>
        <v>51608.7</v>
      </c>
      <c r="K40" s="82" t="s">
        <v>102</v>
      </c>
      <c r="L40" s="82">
        <v>100.0</v>
      </c>
      <c r="M40" s="82">
        <v>680.0</v>
      </c>
    </row>
    <row r="41" ht="12.75" customHeight="1">
      <c r="A41" s="87" t="str">
        <f>template!$A$49</f>
        <v>20/5/2569</v>
      </c>
      <c r="B41" s="104"/>
      <c r="C41" s="115">
        <v>100.0</v>
      </c>
      <c r="D41" s="115">
        <v>43.0</v>
      </c>
      <c r="E41" s="104"/>
      <c r="F41" s="104">
        <f t="shared" si="3"/>
        <v>143</v>
      </c>
      <c r="G41" s="105">
        <v>0.0</v>
      </c>
      <c r="H41" s="106">
        <f t="shared" si="4"/>
        <v>14300</v>
      </c>
      <c r="I41" s="121">
        <v>6200.0</v>
      </c>
      <c r="J41" s="82">
        <f t="shared" si="5"/>
        <v>91317.6</v>
      </c>
      <c r="K41" s="82" t="s">
        <v>103</v>
      </c>
      <c r="L41" s="82">
        <v>100.0</v>
      </c>
      <c r="M41" s="82">
        <v>680.0</v>
      </c>
    </row>
    <row r="42" ht="12.75" customHeight="1">
      <c r="A42" s="87" t="str">
        <f>template!$A$50</f>
        <v>30/5/2569</v>
      </c>
      <c r="B42" s="115">
        <v>1.0</v>
      </c>
      <c r="C42" s="115">
        <v>160.0</v>
      </c>
      <c r="D42" s="115">
        <v>70.0</v>
      </c>
      <c r="E42" s="104"/>
      <c r="F42" s="104">
        <f t="shared" si="3"/>
        <v>231</v>
      </c>
      <c r="G42" s="122">
        <f>IF(F42&lt;150, 0, ((INT(F42/10)*10 - 140) / 10) * 1000)</f>
        <v>9000</v>
      </c>
      <c r="H42" s="106">
        <f t="shared" si="4"/>
        <v>23100</v>
      </c>
      <c r="I42" s="121">
        <v>8900.0</v>
      </c>
      <c r="J42" s="82">
        <f t="shared" si="5"/>
        <v>147539.7</v>
      </c>
    </row>
    <row r="43" ht="12.75" customHeight="1">
      <c r="B43" s="109"/>
      <c r="C43" s="110"/>
      <c r="D43" s="110"/>
      <c r="E43" s="110"/>
      <c r="F43" s="110"/>
      <c r="G43" s="111" t="s">
        <v>109</v>
      </c>
      <c r="H43" s="111"/>
      <c r="I43" s="112">
        <f>SUM(I40:I42)</f>
        <v>23100</v>
      </c>
      <c r="J43" s="111"/>
      <c r="L43" s="100" t="s">
        <v>110</v>
      </c>
    </row>
    <row r="44" ht="12.75" customHeight="1">
      <c r="G44" s="113" t="s">
        <v>111</v>
      </c>
      <c r="H44" s="114">
        <f>H42-I43</f>
        <v>0</v>
      </c>
      <c r="I44" s="46"/>
      <c r="L44" s="100">
        <v>150.0</v>
      </c>
      <c r="M44" s="100">
        <v>1000.0</v>
      </c>
    </row>
    <row r="45" ht="12.75" customHeight="1">
      <c r="L45" s="100">
        <v>160.0</v>
      </c>
      <c r="M45" s="100">
        <v>2000.0</v>
      </c>
    </row>
    <row r="46" ht="12.75" customHeight="1">
      <c r="B46" s="100" t="s">
        <v>112</v>
      </c>
      <c r="C46" s="124" t="str">
        <f>C2</f>
        <v>ทองจันทร์ อ่อนคำ</v>
      </c>
      <c r="L46" s="100">
        <v>170.0</v>
      </c>
      <c r="M46" s="100">
        <v>3000.0</v>
      </c>
    </row>
    <row r="47" ht="12.75" customHeight="1">
      <c r="B47" s="100" t="s">
        <v>113</v>
      </c>
      <c r="L47" s="100">
        <v>180.0</v>
      </c>
      <c r="M47" s="100">
        <v>4000.0</v>
      </c>
    </row>
    <row r="48" ht="12.75" customHeight="1">
      <c r="B48" s="100" t="s">
        <v>114</v>
      </c>
      <c r="C48" s="125">
        <f>IF(F$42&gt;120, E$1, E$1-2000) + E2</f>
        <v>12000</v>
      </c>
      <c r="L48" s="100">
        <v>190.0</v>
      </c>
      <c r="M48" s="100">
        <v>5000.0</v>
      </c>
    </row>
    <row r="49" ht="12.75" customHeight="1">
      <c r="B49" s="100" t="s">
        <v>115</v>
      </c>
      <c r="C49" s="122">
        <f>H42</f>
        <v>23100</v>
      </c>
      <c r="L49" s="100">
        <v>200.0</v>
      </c>
      <c r="M49" s="100">
        <v>6000.0</v>
      </c>
    </row>
    <row r="50" ht="12.75" customHeight="1">
      <c r="B50" s="100" t="s">
        <v>85</v>
      </c>
      <c r="C50" s="122">
        <f>G42</f>
        <v>9000</v>
      </c>
      <c r="L50" s="100">
        <v>210.0</v>
      </c>
      <c r="M50" s="100">
        <v>7000.0</v>
      </c>
    </row>
    <row r="51" ht="12.75" customHeight="1">
      <c r="B51" s="126"/>
      <c r="C51" s="122"/>
      <c r="L51" s="100">
        <v>220.0</v>
      </c>
      <c r="M51" s="100">
        <v>8000.0</v>
      </c>
    </row>
    <row r="52" ht="12.75" customHeight="1">
      <c r="B52" s="127" t="s">
        <v>116</v>
      </c>
      <c r="C52" s="128">
        <f>sum(C48:C51)</f>
        <v>44100</v>
      </c>
      <c r="L52" s="100">
        <v>230.0</v>
      </c>
      <c r="M52" s="100">
        <v>9000.0</v>
      </c>
    </row>
    <row r="53" ht="12.75" customHeight="1">
      <c r="B53" s="127" t="s">
        <v>123</v>
      </c>
      <c r="C53" s="127">
        <f>-C52*3%</f>
        <v>-1323</v>
      </c>
    </row>
    <row r="54" ht="12.75" customHeight="1">
      <c r="B54" s="129" t="s">
        <v>118</v>
      </c>
      <c r="C54" s="127">
        <f t="shared" ref="C54:C55" si="6">-I40</f>
        <v>-8000</v>
      </c>
    </row>
    <row r="55" ht="12.75" customHeight="1">
      <c r="B55" s="129" t="s">
        <v>120</v>
      </c>
      <c r="C55" s="127">
        <f t="shared" si="6"/>
        <v>-6200</v>
      </c>
    </row>
    <row r="56" ht="12.75" customHeight="1">
      <c r="B56" s="100" t="s">
        <v>121</v>
      </c>
      <c r="C56" s="122">
        <f>sum(C52:C55)</f>
        <v>28577</v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8">
    <mergeCell ref="A5:A6"/>
    <mergeCell ref="B5:B6"/>
    <mergeCell ref="C5:C6"/>
    <mergeCell ref="D5:E5"/>
    <mergeCell ref="F5:H5"/>
    <mergeCell ref="J5:J6"/>
    <mergeCell ref="A38:A39"/>
    <mergeCell ref="C38:F38"/>
  </mergeCells>
  <conditionalFormatting sqref="B35">
    <cfRule type="cellIs" dxfId="0" priority="1" operator="greaterThan">
      <formula>0</formula>
    </cfRule>
  </conditionalFormatting>
  <conditionalFormatting sqref="B35">
    <cfRule type="cellIs" dxfId="1" priority="2" operator="lessThan">
      <formula>0</formula>
    </cfRule>
  </conditionalFormatting>
  <dataValidations>
    <dataValidation type="list" allowBlank="1" showErrorMessage="1" sqref="K8 K10 K16:K31">
      <formula1>"บิลสมบูรณ์,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B35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2.63"/>
    <col customWidth="1" min="2" max="3" width="24.13"/>
    <col customWidth="1" min="4" max="5" width="15.5"/>
    <col customWidth="1" min="6" max="8" width="14.5"/>
    <col customWidth="1" min="9" max="9" width="15.5"/>
    <col customWidth="1" min="10" max="10" width="18.0"/>
    <col customWidth="1" min="11" max="11" width="38.13"/>
    <col customWidth="1" min="12" max="35" width="8.88"/>
  </cols>
  <sheetData>
    <row r="1">
      <c r="A1" s="1" t="s">
        <v>2</v>
      </c>
      <c r="B1" s="1"/>
      <c r="C1" s="1" t="str">
        <f>template!$C$1</f>
        <v>พฤษภาคม2569</v>
      </c>
      <c r="D1" s="1" t="s">
        <v>4</v>
      </c>
      <c r="E1" s="4">
        <v>12000.0</v>
      </c>
      <c r="F1" s="1"/>
      <c r="G1" s="1" t="s">
        <v>11</v>
      </c>
      <c r="H1" s="1"/>
      <c r="I1" s="1"/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125</v>
      </c>
      <c r="B2" s="9"/>
      <c r="C2" s="9" t="s">
        <v>126</v>
      </c>
      <c r="D2" s="13" t="s">
        <v>9</v>
      </c>
      <c r="E2" s="13">
        <v>0.0</v>
      </c>
      <c r="F2" s="15"/>
      <c r="G2" s="15"/>
      <c r="H2" s="15"/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127</v>
      </c>
      <c r="B3" s="9"/>
      <c r="C3" s="9">
        <v>1.909800084592E12</v>
      </c>
      <c r="D3" s="1" t="s">
        <v>128</v>
      </c>
      <c r="E3" s="9"/>
      <c r="F3" s="15"/>
      <c r="G3" s="15"/>
      <c r="H3" s="15"/>
      <c r="I3" s="17" t="str">
        <f>'ทะเบียน ประกัน'!C6</f>
        <v>74-8394</v>
      </c>
      <c r="J3" s="17" t="str">
        <f>'ทะเบียน ประกัน'!I6</f>
        <v>73-3384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244413.0</v>
      </c>
      <c r="B7" s="35" t="s">
        <v>41</v>
      </c>
      <c r="C7" s="35">
        <v>37.0</v>
      </c>
      <c r="D7" s="36"/>
      <c r="E7" s="36"/>
      <c r="F7" s="40">
        <v>10100.0</v>
      </c>
      <c r="G7" s="36"/>
      <c r="H7" s="36"/>
      <c r="I7" s="36"/>
      <c r="J7" s="41">
        <f t="shared" ref="J7:J8" si="1">F7/C7</f>
        <v>272.972973</v>
      </c>
      <c r="K7" s="38" t="s">
        <v>133</v>
      </c>
      <c r="N7" s="43"/>
    </row>
    <row r="8" ht="12.75" customHeight="1">
      <c r="A8" s="34">
        <v>244627.0</v>
      </c>
      <c r="B8" s="35" t="s">
        <v>41</v>
      </c>
      <c r="C8" s="35">
        <v>38.0</v>
      </c>
      <c r="D8" s="36"/>
      <c r="E8" s="36"/>
      <c r="F8" s="40">
        <v>10100.0</v>
      </c>
      <c r="G8" s="36"/>
      <c r="H8" s="36"/>
      <c r="I8" s="36"/>
      <c r="J8" s="41">
        <f t="shared" si="1"/>
        <v>265.7894737</v>
      </c>
      <c r="K8" s="38" t="s">
        <v>135</v>
      </c>
      <c r="N8" s="43"/>
    </row>
    <row r="9" ht="12.75" customHeight="1">
      <c r="A9" s="34">
        <v>244658.0</v>
      </c>
      <c r="B9" s="35" t="s">
        <v>136</v>
      </c>
      <c r="C9" s="42"/>
      <c r="D9" s="36"/>
      <c r="E9" s="48"/>
      <c r="F9" s="73">
        <v>3531.0</v>
      </c>
      <c r="G9" s="36"/>
      <c r="H9" s="48"/>
      <c r="I9" s="41"/>
      <c r="J9" s="41"/>
      <c r="K9" s="3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</row>
    <row r="10" ht="12.75" customHeight="1">
      <c r="A10" s="138">
        <v>244658.0</v>
      </c>
      <c r="B10" s="35" t="s">
        <v>137</v>
      </c>
      <c r="C10" s="35"/>
      <c r="D10" s="36"/>
      <c r="E10" s="48"/>
      <c r="F10" s="38">
        <v>695.45</v>
      </c>
      <c r="G10" s="48"/>
      <c r="H10" s="36"/>
      <c r="I10" s="36"/>
      <c r="J10" s="41"/>
      <c r="K10" s="38"/>
    </row>
    <row r="11" ht="12.75" customHeight="1">
      <c r="A11" s="51" t="s">
        <v>48</v>
      </c>
      <c r="B11" s="35" t="s">
        <v>140</v>
      </c>
      <c r="C11" s="35"/>
      <c r="D11" s="36"/>
      <c r="E11" s="36"/>
      <c r="F11" s="38">
        <v>1000.0</v>
      </c>
      <c r="G11" s="48"/>
      <c r="H11" s="42"/>
      <c r="I11" s="36"/>
      <c r="J11" s="36"/>
      <c r="K11" s="36"/>
    </row>
    <row r="12" ht="12.75" customHeight="1">
      <c r="A12" s="51" t="s">
        <v>108</v>
      </c>
      <c r="B12" s="35" t="s">
        <v>41</v>
      </c>
      <c r="C12" s="35">
        <v>35.0</v>
      </c>
      <c r="D12" s="36"/>
      <c r="E12" s="36"/>
      <c r="F12" s="61">
        <v>10100.0</v>
      </c>
      <c r="G12" s="36"/>
      <c r="H12" s="36"/>
      <c r="I12" s="36"/>
      <c r="J12" s="41">
        <f t="shared" ref="J12:J13" si="2">F12/C12</f>
        <v>288.5714286</v>
      </c>
      <c r="K12" s="36"/>
    </row>
    <row r="13" ht="12.75" customHeight="1">
      <c r="A13" s="51" t="s">
        <v>142</v>
      </c>
      <c r="B13" s="35" t="s">
        <v>41</v>
      </c>
      <c r="C13" s="35">
        <v>30.0</v>
      </c>
      <c r="D13" s="36"/>
      <c r="E13" s="48"/>
      <c r="F13" s="40">
        <v>10100.0</v>
      </c>
      <c r="G13" s="36"/>
      <c r="H13" s="36"/>
      <c r="I13" s="41"/>
      <c r="J13" s="41">
        <f t="shared" si="2"/>
        <v>336.6666667</v>
      </c>
      <c r="K13" s="38" t="s">
        <v>144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ht="12.75" customHeight="1">
      <c r="A14" s="53"/>
      <c r="B14" s="71"/>
      <c r="C14" s="70"/>
      <c r="D14" s="68"/>
      <c r="E14" s="68"/>
      <c r="F14" s="68"/>
      <c r="G14" s="72"/>
      <c r="H14" s="36"/>
      <c r="I14" s="36"/>
      <c r="J14" s="41"/>
      <c r="K14" s="36"/>
      <c r="N14" s="43"/>
    </row>
    <row r="15" ht="12.75" customHeight="1">
      <c r="A15" s="53"/>
      <c r="B15" s="71"/>
      <c r="C15" s="42"/>
      <c r="D15" s="36"/>
      <c r="E15" s="36"/>
      <c r="F15" s="36"/>
      <c r="G15" s="48"/>
      <c r="H15" s="36"/>
      <c r="I15" s="59"/>
      <c r="J15" s="59"/>
      <c r="K15" s="3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ht="12.75" customHeight="1">
      <c r="A16" s="53"/>
      <c r="B16" s="42"/>
      <c r="C16" s="42"/>
      <c r="D16" s="36"/>
      <c r="E16" s="36"/>
      <c r="F16" s="36"/>
      <c r="G16" s="48"/>
      <c r="H16" s="36"/>
      <c r="I16" s="36"/>
      <c r="J16" s="36"/>
      <c r="K16" s="36"/>
    </row>
    <row r="17" ht="12.75" customHeight="1">
      <c r="A17" s="53"/>
      <c r="B17" s="56"/>
      <c r="C17" s="58"/>
      <c r="D17" s="59"/>
      <c r="E17" s="59"/>
      <c r="F17" s="59"/>
      <c r="G17" s="59"/>
      <c r="H17" s="60"/>
      <c r="I17" s="36"/>
      <c r="J17" s="36"/>
      <c r="K17" s="36"/>
    </row>
    <row r="18" ht="12.75" customHeight="1">
      <c r="A18" s="53"/>
      <c r="B18" s="42"/>
      <c r="C18" s="64"/>
      <c r="D18" s="63"/>
      <c r="E18" s="63"/>
      <c r="F18" s="63"/>
      <c r="G18" s="65"/>
      <c r="H18" s="41"/>
      <c r="I18" s="36"/>
      <c r="J18" s="41"/>
      <c r="K18" s="36"/>
    </row>
    <row r="19" ht="12.75" customHeight="1">
      <c r="A19" s="53"/>
      <c r="B19" s="62"/>
      <c r="C19" s="64"/>
      <c r="D19" s="63"/>
      <c r="E19" s="63"/>
      <c r="F19" s="63"/>
      <c r="G19" s="65"/>
      <c r="H19" s="41"/>
      <c r="I19" s="36"/>
      <c r="J19" s="36"/>
      <c r="K19" s="36"/>
    </row>
    <row r="20" ht="12.75" customHeight="1">
      <c r="A20" s="53"/>
      <c r="B20" s="71"/>
      <c r="C20" s="42"/>
      <c r="D20" s="36"/>
      <c r="E20" s="36"/>
      <c r="F20" s="36"/>
      <c r="G20" s="48"/>
      <c r="H20" s="36"/>
      <c r="I20" s="36"/>
      <c r="J20" s="36"/>
      <c r="K20" s="36"/>
    </row>
    <row r="21" ht="12.75" customHeight="1">
      <c r="A21" s="53"/>
      <c r="B21" s="42"/>
      <c r="C21" s="140"/>
      <c r="D21" s="141"/>
      <c r="E21" s="141"/>
      <c r="F21" s="142"/>
      <c r="G21" s="36"/>
      <c r="H21" s="36"/>
      <c r="I21" s="36"/>
      <c r="J21" s="41"/>
      <c r="K21" s="36"/>
    </row>
    <row r="22" ht="12.75" customHeight="1">
      <c r="A22" s="75"/>
      <c r="B22" s="42"/>
      <c r="C22" s="42"/>
      <c r="D22" s="36"/>
      <c r="E22" s="36"/>
      <c r="F22" s="36"/>
      <c r="G22" s="36"/>
      <c r="H22" s="36"/>
      <c r="I22" s="36"/>
      <c r="J22" s="36"/>
      <c r="K22" s="36"/>
    </row>
    <row r="23" ht="12.75" customHeight="1">
      <c r="A23" s="86"/>
      <c r="B23" s="42"/>
      <c r="C23" s="42"/>
      <c r="D23" s="36"/>
      <c r="E23" s="36"/>
      <c r="F23" s="48"/>
      <c r="G23" s="36"/>
      <c r="H23" s="36"/>
      <c r="I23" s="36"/>
      <c r="J23" s="36"/>
      <c r="K23" s="36"/>
    </row>
    <row r="24" ht="12.75" customHeight="1">
      <c r="A24" s="143"/>
      <c r="B24" s="42"/>
      <c r="C24" s="42"/>
      <c r="D24" s="36"/>
      <c r="E24" s="36"/>
      <c r="F24" s="48"/>
      <c r="G24" s="36"/>
      <c r="H24" s="36"/>
      <c r="I24" s="36"/>
      <c r="J24" s="36"/>
      <c r="K24" s="36"/>
    </row>
    <row r="25" ht="12.75" customHeight="1">
      <c r="A25" s="87">
        <f>template!$A$48</f>
        <v>244627</v>
      </c>
      <c r="B25" s="42" t="s">
        <v>77</v>
      </c>
      <c r="C25" s="42"/>
      <c r="D25" s="36"/>
      <c r="E25" s="36"/>
      <c r="F25" s="48"/>
      <c r="G25" s="36">
        <f t="shared" ref="G25:G27" si="3">I40</f>
        <v>3500</v>
      </c>
      <c r="H25" s="60"/>
      <c r="I25" s="36"/>
      <c r="J25" s="36"/>
      <c r="K25" s="36"/>
    </row>
    <row r="26" ht="12.75" customHeight="1">
      <c r="A26" s="87" t="str">
        <f>template!$A$49</f>
        <v>20/5/2569</v>
      </c>
      <c r="B26" s="42" t="s">
        <v>77</v>
      </c>
      <c r="C26" s="42"/>
      <c r="D26" s="36"/>
      <c r="E26" s="36"/>
      <c r="F26" s="48"/>
      <c r="G26" s="36">
        <f t="shared" si="3"/>
        <v>0</v>
      </c>
      <c r="H26" s="41"/>
      <c r="I26" s="36"/>
      <c r="J26" s="36"/>
      <c r="K26" s="36"/>
    </row>
    <row r="27" ht="12.75" customHeight="1">
      <c r="A27" s="87" t="str">
        <f>template!$A$50</f>
        <v>30/5/2569</v>
      </c>
      <c r="B27" s="42" t="s">
        <v>77</v>
      </c>
      <c r="C27" s="42"/>
      <c r="D27" s="36"/>
      <c r="E27" s="36"/>
      <c r="F27" s="48"/>
      <c r="G27" s="36">
        <f t="shared" si="3"/>
        <v>11500</v>
      </c>
      <c r="H27" s="41"/>
      <c r="I27" s="36"/>
      <c r="J27" s="36"/>
      <c r="K27" s="36"/>
    </row>
    <row r="28" ht="12.75" customHeight="1">
      <c r="A28" s="87" t="str">
        <f>template!$A$50</f>
        <v>30/5/2569</v>
      </c>
      <c r="B28" s="56" t="s">
        <v>83</v>
      </c>
      <c r="C28" s="58"/>
      <c r="D28" s="59"/>
      <c r="E28" s="59"/>
      <c r="F28" s="59"/>
      <c r="G28" s="59"/>
      <c r="H28" s="60">
        <f>E1</f>
        <v>12000</v>
      </c>
      <c r="I28" s="36"/>
      <c r="J28" s="36"/>
      <c r="K28" s="36"/>
    </row>
    <row r="29" ht="12.75" customHeight="1">
      <c r="A29" s="87" t="str">
        <f>template!$A$50</f>
        <v>30/5/2569</v>
      </c>
      <c r="B29" s="96" t="s">
        <v>91</v>
      </c>
      <c r="C29" s="64"/>
      <c r="D29" s="63"/>
      <c r="E29" s="63"/>
      <c r="F29" s="63"/>
      <c r="G29" s="97">
        <v>0.0</v>
      </c>
      <c r="H29" s="68"/>
      <c r="I29" s="36"/>
      <c r="J29" s="36"/>
      <c r="K29" s="36"/>
    </row>
    <row r="30" ht="12.75" customHeight="1">
      <c r="A30" s="87" t="str">
        <f>template!$A$50</f>
        <v>30/5/2569</v>
      </c>
      <c r="B30" s="62" t="s">
        <v>85</v>
      </c>
      <c r="C30" s="64"/>
      <c r="D30" s="63"/>
      <c r="E30" s="63"/>
      <c r="F30" s="63"/>
      <c r="G30" s="65">
        <f>G42</f>
        <v>1000</v>
      </c>
      <c r="H30" s="68"/>
      <c r="I30" s="36"/>
      <c r="J30" s="36"/>
      <c r="K30" s="36"/>
    </row>
    <row r="31" ht="12.75" customHeight="1">
      <c r="A31" s="87" t="str">
        <f>template!$A$50</f>
        <v>30/5/2569</v>
      </c>
      <c r="B31" s="127" t="s">
        <v>117</v>
      </c>
      <c r="C31" s="82"/>
      <c r="D31" s="41"/>
      <c r="E31" s="41"/>
      <c r="F31" s="41"/>
      <c r="G31" s="41"/>
      <c r="H31" s="84">
        <f>C52</f>
        <v>-875</v>
      </c>
      <c r="I31" s="36"/>
      <c r="J31" s="36"/>
      <c r="K31" s="36"/>
    </row>
    <row r="32" ht="12.75" customHeight="1">
      <c r="A32" s="93"/>
      <c r="B32" s="93"/>
      <c r="C32" s="95"/>
      <c r="D32" s="30">
        <f t="shared" ref="D32:H32" si="4">SUM(D7:D31)</f>
        <v>0</v>
      </c>
      <c r="E32" s="30">
        <f t="shared" si="4"/>
        <v>0</v>
      </c>
      <c r="F32" s="30">
        <f t="shared" si="4"/>
        <v>45626.45</v>
      </c>
      <c r="G32" s="30">
        <f t="shared" si="4"/>
        <v>16000</v>
      </c>
      <c r="H32" s="30">
        <f t="shared" si="4"/>
        <v>11125</v>
      </c>
      <c r="I32" s="30"/>
      <c r="J32" s="30">
        <f>SUM(J7:J31)</f>
        <v>1164.000542</v>
      </c>
      <c r="K32" s="98"/>
    </row>
    <row r="33" ht="12.75" customHeight="1">
      <c r="A33" s="46" t="s">
        <v>156</v>
      </c>
      <c r="B33" s="99">
        <f>H28+G29+G30+H31</f>
        <v>12125</v>
      </c>
      <c r="C33" s="100" t="s">
        <v>88</v>
      </c>
      <c r="D33" s="101">
        <f>SUMIF(B7:B31, "*"&amp;"น้ำมัน"&amp;"*", F7:F31)</f>
        <v>41095.45</v>
      </c>
    </row>
    <row r="34" ht="12.75" customHeight="1">
      <c r="A34" s="46" t="s">
        <v>90</v>
      </c>
      <c r="B34" s="99">
        <f>sum(F32:H32)</f>
        <v>72751.45</v>
      </c>
      <c r="C34" s="100" t="s">
        <v>92</v>
      </c>
      <c r="D34" s="101">
        <f>F32-D33</f>
        <v>4531</v>
      </c>
    </row>
    <row r="35" ht="12.75" customHeight="1">
      <c r="A35" s="100" t="s">
        <v>93</v>
      </c>
      <c r="B35" s="101">
        <f>J42-B34</f>
        <v>23130.05</v>
      </c>
    </row>
    <row r="36" ht="12.75" customHeight="1"/>
    <row r="37" ht="12.75" customHeight="1"/>
    <row r="38" ht="12.75" customHeight="1">
      <c r="A38" s="19" t="s">
        <v>23</v>
      </c>
      <c r="B38" s="30"/>
      <c r="C38" s="21" t="s">
        <v>95</v>
      </c>
      <c r="D38" s="23"/>
      <c r="E38" s="23"/>
      <c r="F38" s="22"/>
      <c r="G38" s="82"/>
      <c r="H38" s="82"/>
      <c r="I38" s="70"/>
      <c r="J38" s="82"/>
      <c r="K38" s="82" t="s">
        <v>97</v>
      </c>
      <c r="L38" s="82" t="s">
        <v>99</v>
      </c>
      <c r="M38" s="82" t="s">
        <v>26</v>
      </c>
    </row>
    <row r="39" ht="12.75" customHeight="1">
      <c r="A39" s="29"/>
      <c r="B39" s="30" t="s">
        <v>100</v>
      </c>
      <c r="C39" s="30" t="s">
        <v>101</v>
      </c>
      <c r="D39" s="30" t="s">
        <v>102</v>
      </c>
      <c r="E39" s="30" t="s">
        <v>103</v>
      </c>
      <c r="F39" s="30" t="s">
        <v>104</v>
      </c>
      <c r="G39" s="21" t="s">
        <v>85</v>
      </c>
      <c r="H39" s="102" t="s">
        <v>105</v>
      </c>
      <c r="I39" s="102" t="s">
        <v>106</v>
      </c>
      <c r="J39" s="24" t="s">
        <v>107</v>
      </c>
      <c r="K39" s="82" t="s">
        <v>101</v>
      </c>
      <c r="L39" s="82">
        <v>100.0</v>
      </c>
      <c r="M39" s="82">
        <v>630.0</v>
      </c>
    </row>
    <row r="40" ht="12.75" customHeight="1">
      <c r="A40" s="87">
        <f>template!$A$48</f>
        <v>244627</v>
      </c>
      <c r="B40" s="115"/>
      <c r="C40" s="115">
        <v>31.0</v>
      </c>
      <c r="D40" s="115">
        <v>10.0</v>
      </c>
      <c r="E40" s="104"/>
      <c r="F40" s="104">
        <f t="shared" ref="F40:F42" si="5">sum(B40:E40)</f>
        <v>41</v>
      </c>
      <c r="G40" s="105">
        <v>0.0</v>
      </c>
      <c r="H40" s="106">
        <f t="shared" ref="H40:H42" si="6">F40*$L$39</f>
        <v>4100</v>
      </c>
      <c r="I40" s="120">
        <v>3500.0</v>
      </c>
      <c r="J40" s="82">
        <f t="shared" ref="J40:J42" si="7">0.99*(((B40+C40)*$M$39)+(D40*$M$40)+(E40*$M$41))</f>
        <v>26066.7</v>
      </c>
      <c r="K40" s="82" t="s">
        <v>102</v>
      </c>
      <c r="L40" s="82">
        <v>100.0</v>
      </c>
      <c r="M40" s="82">
        <v>680.0</v>
      </c>
    </row>
    <row r="41" ht="12.75" customHeight="1">
      <c r="A41" s="87" t="str">
        <f>template!$A$49</f>
        <v>20/5/2569</v>
      </c>
      <c r="B41" s="104"/>
      <c r="C41" s="104"/>
      <c r="D41" s="104"/>
      <c r="E41" s="104"/>
      <c r="F41" s="104">
        <f t="shared" si="5"/>
        <v>0</v>
      </c>
      <c r="G41" s="105">
        <v>0.0</v>
      </c>
      <c r="H41" s="106">
        <f t="shared" si="6"/>
        <v>0</v>
      </c>
      <c r="I41" s="121">
        <v>0.0</v>
      </c>
      <c r="J41" s="82">
        <f t="shared" si="7"/>
        <v>0</v>
      </c>
      <c r="K41" s="82" t="s">
        <v>103</v>
      </c>
      <c r="L41" s="82">
        <v>100.0</v>
      </c>
      <c r="M41" s="82">
        <v>680.0</v>
      </c>
    </row>
    <row r="42" ht="12.75" customHeight="1">
      <c r="A42" s="87" t="str">
        <f>template!$A$50</f>
        <v>30/5/2569</v>
      </c>
      <c r="B42" s="115"/>
      <c r="C42" s="115">
        <v>103.0</v>
      </c>
      <c r="D42" s="115">
        <v>47.0</v>
      </c>
      <c r="E42" s="104"/>
      <c r="F42" s="104">
        <f t="shared" si="5"/>
        <v>150</v>
      </c>
      <c r="G42" s="122">
        <f>IF(F42&lt;150, 0, ((INT(F42/10)*10 - 140) / 10) * 1000)</f>
        <v>1000</v>
      </c>
      <c r="H42" s="106">
        <f t="shared" si="6"/>
        <v>15000</v>
      </c>
      <c r="I42" s="121">
        <v>11500.0</v>
      </c>
      <c r="J42" s="82">
        <f t="shared" si="7"/>
        <v>95881.5</v>
      </c>
    </row>
    <row r="43" ht="12.75" customHeight="1">
      <c r="B43" s="109"/>
      <c r="C43" s="110"/>
      <c r="D43" s="110"/>
      <c r="E43" s="110"/>
      <c r="F43" s="110"/>
      <c r="G43" s="111" t="s">
        <v>109</v>
      </c>
      <c r="H43" s="111"/>
      <c r="I43" s="112">
        <f>SUM(I40:I42)</f>
        <v>15000</v>
      </c>
      <c r="J43" s="111"/>
      <c r="L43" s="100" t="s">
        <v>110</v>
      </c>
    </row>
    <row r="44" ht="12.75" customHeight="1">
      <c r="G44" s="113" t="s">
        <v>111</v>
      </c>
      <c r="H44" s="114">
        <f>H42-I43</f>
        <v>0</v>
      </c>
      <c r="I44" s="46"/>
      <c r="L44" s="100">
        <v>150.0</v>
      </c>
      <c r="M44" s="100">
        <v>1000.0</v>
      </c>
    </row>
    <row r="45" ht="12.75" customHeight="1">
      <c r="B45" s="100" t="s">
        <v>112</v>
      </c>
      <c r="C45" s="124" t="str">
        <f>C2</f>
        <v>วงศกร กลิ่นบุญเกิด</v>
      </c>
      <c r="L45" s="100">
        <v>160.0</v>
      </c>
      <c r="M45" s="100">
        <v>2000.0</v>
      </c>
    </row>
    <row r="46" ht="12.75" customHeight="1">
      <c r="B46" s="100" t="s">
        <v>113</v>
      </c>
      <c r="D46" s="100"/>
      <c r="F46" s="149"/>
      <c r="L46" s="100">
        <v>170.0</v>
      </c>
      <c r="M46" s="100">
        <v>3000.0</v>
      </c>
    </row>
    <row r="47" ht="12.75" customHeight="1">
      <c r="B47" s="100" t="s">
        <v>4</v>
      </c>
      <c r="C47" s="125">
        <f>IF(F$42&gt;120, E$1, E$1-2000) + E2</f>
        <v>12000</v>
      </c>
      <c r="F47" s="100">
        <f>D33/F42</f>
        <v>273.9696667</v>
      </c>
      <c r="L47" s="100">
        <v>180.0</v>
      </c>
      <c r="M47" s="100">
        <v>4000.0</v>
      </c>
    </row>
    <row r="48" ht="12.75" customHeight="1">
      <c r="A48" s="100"/>
      <c r="B48" s="100" t="s">
        <v>115</v>
      </c>
      <c r="C48" s="122">
        <f>H42</f>
        <v>15000</v>
      </c>
      <c r="D48" s="100"/>
      <c r="E48" s="100"/>
      <c r="F48" s="149"/>
      <c r="G48" s="149"/>
      <c r="H48" s="150"/>
      <c r="I48" s="151"/>
      <c r="L48" s="100">
        <v>190.0</v>
      </c>
      <c r="M48" s="100">
        <v>5000.0</v>
      </c>
    </row>
    <row r="49" ht="12.75" customHeight="1">
      <c r="A49" s="100"/>
      <c r="B49" s="100" t="s">
        <v>85</v>
      </c>
      <c r="C49" s="122">
        <f>G42</f>
        <v>1000</v>
      </c>
      <c r="D49" s="122"/>
      <c r="E49" s="100"/>
      <c r="F49" s="149"/>
      <c r="G49" s="149"/>
      <c r="H49" s="150"/>
      <c r="I49" s="100"/>
      <c r="L49" s="100">
        <v>200.0</v>
      </c>
      <c r="M49" s="100">
        <v>6000.0</v>
      </c>
    </row>
    <row r="50" ht="12.75" customHeight="1">
      <c r="B50" s="126"/>
      <c r="C50" s="122"/>
      <c r="D50" s="100"/>
      <c r="E50" s="100"/>
      <c r="F50" s="152" t="s">
        <v>168</v>
      </c>
      <c r="G50" s="149"/>
      <c r="H50" s="150"/>
      <c r="I50" s="100"/>
      <c r="L50" s="100">
        <v>210.0</v>
      </c>
      <c r="M50" s="100">
        <v>7000.0</v>
      </c>
    </row>
    <row r="51" ht="12.75" customHeight="1">
      <c r="B51" s="127" t="s">
        <v>116</v>
      </c>
      <c r="C51" s="128">
        <f>sum(C47:C50)</f>
        <v>28000</v>
      </c>
      <c r="G51" s="153"/>
      <c r="H51" s="153"/>
      <c r="I51" s="154"/>
      <c r="J51" s="153"/>
      <c r="L51" s="100">
        <v>220.0</v>
      </c>
      <c r="M51" s="100">
        <v>8000.0</v>
      </c>
    </row>
    <row r="52" ht="12.75" customHeight="1">
      <c r="B52" s="127" t="s">
        <v>117</v>
      </c>
      <c r="C52" s="127">
        <f>-MIN(C51*5%, 875)</f>
        <v>-875</v>
      </c>
      <c r="G52" s="127"/>
      <c r="H52" s="128"/>
      <c r="I52" s="46"/>
      <c r="L52" s="100">
        <v>230.0</v>
      </c>
      <c r="M52" s="100">
        <v>9000.0</v>
      </c>
    </row>
    <row r="53" ht="12.75" customHeight="1">
      <c r="B53" s="129" t="s">
        <v>118</v>
      </c>
      <c r="C53" s="127">
        <f t="shared" ref="C53:C54" si="8">-I40</f>
        <v>-3500</v>
      </c>
    </row>
    <row r="54" ht="12.75" customHeight="1">
      <c r="B54" s="129" t="s">
        <v>120</v>
      </c>
      <c r="C54" s="127">
        <f t="shared" si="8"/>
        <v>0</v>
      </c>
    </row>
    <row r="55" ht="12.75" customHeight="1">
      <c r="B55" s="100" t="s">
        <v>121</v>
      </c>
      <c r="C55" s="122">
        <f>C51+C52+C53</f>
        <v>23625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8">
    <mergeCell ref="A5:A6"/>
    <mergeCell ref="B5:B6"/>
    <mergeCell ref="C5:C6"/>
    <mergeCell ref="D5:E5"/>
    <mergeCell ref="F5:H5"/>
    <mergeCell ref="J5:J6"/>
    <mergeCell ref="A38:A39"/>
    <mergeCell ref="C38:F38"/>
  </mergeCells>
  <conditionalFormatting sqref="B35">
    <cfRule type="cellIs" dxfId="0" priority="1" operator="greaterThan">
      <formula>0</formula>
    </cfRule>
  </conditionalFormatting>
  <conditionalFormatting sqref="B35">
    <cfRule type="cellIs" dxfId="1" priority="2" operator="lessThan">
      <formula>0</formula>
    </cfRule>
  </conditionalFormatting>
  <dataValidations>
    <dataValidation type="list" allowBlank="1" showErrorMessage="1" sqref="K19:K31">
      <formula1>"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B35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4.13"/>
    <col customWidth="1" min="4" max="5" width="15.5"/>
    <col customWidth="1" min="6" max="8" width="14.5"/>
    <col customWidth="1" min="9" max="10" width="15.5"/>
    <col customWidth="1" min="11" max="11" width="38.13"/>
    <col customWidth="1" min="12" max="35" width="8.88"/>
  </cols>
  <sheetData>
    <row r="1">
      <c r="A1" s="1" t="s">
        <v>2</v>
      </c>
      <c r="B1" s="1"/>
      <c r="C1" s="1" t="str">
        <f>template!$C$1</f>
        <v>พฤษภาคม2569</v>
      </c>
      <c r="D1" s="1" t="s">
        <v>4</v>
      </c>
      <c r="E1" s="4">
        <v>12000.0</v>
      </c>
      <c r="F1" s="1"/>
      <c r="G1" s="14" t="s">
        <v>139</v>
      </c>
      <c r="H1" s="1"/>
      <c r="I1" s="1" t="s">
        <v>11</v>
      </c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141</v>
      </c>
      <c r="B2" s="9"/>
      <c r="C2" s="9" t="s">
        <v>143</v>
      </c>
      <c r="D2" s="13" t="s">
        <v>9</v>
      </c>
      <c r="E2" s="13">
        <v>0.0</v>
      </c>
      <c r="F2" s="15"/>
      <c r="G2" s="15"/>
      <c r="H2" s="15"/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145</v>
      </c>
      <c r="B3" s="9"/>
      <c r="C3" s="9">
        <v>5.300800103597E12</v>
      </c>
      <c r="D3" s="1" t="s">
        <v>146</v>
      </c>
      <c r="E3" s="9"/>
      <c r="F3" s="15"/>
      <c r="G3" s="15"/>
      <c r="H3" s="15"/>
      <c r="I3" s="17" t="str">
        <f>'ทะเบียน ประกัน'!C7</f>
        <v>74-8874</v>
      </c>
      <c r="J3" s="17" t="str">
        <f>'ทะเบียน ประกัน'!I7</f>
        <v>74-8875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244385.0</v>
      </c>
      <c r="B7" s="35" t="s">
        <v>41</v>
      </c>
      <c r="C7" s="35">
        <v>48.0</v>
      </c>
      <c r="D7" s="36"/>
      <c r="E7" s="36"/>
      <c r="F7" s="40">
        <v>13000.0</v>
      </c>
      <c r="G7" s="36"/>
      <c r="H7" s="36"/>
      <c r="I7" s="141"/>
      <c r="J7" s="41">
        <f>F7/C7</f>
        <v>270.8333333</v>
      </c>
      <c r="K7" s="38" t="s">
        <v>147</v>
      </c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</row>
    <row r="8" ht="12.75" customHeight="1">
      <c r="A8" s="34">
        <v>244413.0</v>
      </c>
      <c r="B8" s="35" t="s">
        <v>148</v>
      </c>
      <c r="C8" s="35"/>
      <c r="D8" s="36"/>
      <c r="E8" s="36"/>
      <c r="F8" s="38">
        <v>600.0</v>
      </c>
      <c r="G8" s="36"/>
      <c r="H8" s="36"/>
      <c r="I8" s="41"/>
      <c r="J8" s="41"/>
      <c r="K8" s="144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</row>
    <row r="9" ht="12.75" customHeight="1">
      <c r="A9" s="34">
        <v>244566.0</v>
      </c>
      <c r="B9" s="35" t="s">
        <v>41</v>
      </c>
      <c r="C9" s="35">
        <v>49.0</v>
      </c>
      <c r="D9" s="36"/>
      <c r="E9" s="36"/>
      <c r="F9" s="40">
        <v>13000.0</v>
      </c>
      <c r="G9" s="48"/>
      <c r="H9" s="48"/>
      <c r="I9" s="141"/>
      <c r="J9" s="41">
        <f>F9/C9</f>
        <v>265.3061224</v>
      </c>
      <c r="K9" s="38" t="s">
        <v>149</v>
      </c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</row>
    <row r="10" ht="12.75" customHeight="1">
      <c r="A10" s="51" t="s">
        <v>72</v>
      </c>
      <c r="B10" s="145" t="s">
        <v>49</v>
      </c>
      <c r="C10" s="42"/>
      <c r="D10" s="36"/>
      <c r="E10" s="48"/>
      <c r="F10" s="38">
        <v>800.0</v>
      </c>
      <c r="G10" s="36"/>
      <c r="H10" s="36"/>
      <c r="I10" s="41"/>
      <c r="J10" s="41"/>
      <c r="K10" s="3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</row>
    <row r="11" ht="12.75" customHeight="1">
      <c r="A11" s="51" t="s">
        <v>150</v>
      </c>
      <c r="B11" s="35" t="s">
        <v>41</v>
      </c>
      <c r="C11" s="35">
        <v>42.0</v>
      </c>
      <c r="D11" s="36"/>
      <c r="E11" s="36"/>
      <c r="F11" s="40">
        <v>13000.0</v>
      </c>
      <c r="G11" s="48"/>
      <c r="H11" s="42"/>
      <c r="I11" s="41"/>
      <c r="J11" s="41">
        <f t="shared" ref="J11:J15" si="1">F11/C11</f>
        <v>309.5238095</v>
      </c>
      <c r="K11" s="38" t="s">
        <v>151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</row>
    <row r="12" ht="12.75" customHeight="1">
      <c r="A12" s="51" t="s">
        <v>57</v>
      </c>
      <c r="B12" s="35" t="s">
        <v>41</v>
      </c>
      <c r="C12" s="35">
        <v>48.0</v>
      </c>
      <c r="D12" s="36"/>
      <c r="E12" s="36"/>
      <c r="F12" s="61">
        <v>13000.0</v>
      </c>
      <c r="G12" s="48"/>
      <c r="H12" s="36"/>
      <c r="I12" s="36"/>
      <c r="J12" s="41">
        <f t="shared" si="1"/>
        <v>270.8333333</v>
      </c>
      <c r="K12" s="36"/>
    </row>
    <row r="13" ht="12.75" customHeight="1">
      <c r="A13" s="51" t="s">
        <v>60</v>
      </c>
      <c r="B13" s="35" t="s">
        <v>41</v>
      </c>
      <c r="C13" s="35"/>
      <c r="D13" s="36"/>
      <c r="E13" s="36"/>
      <c r="F13" s="38">
        <v>13000.0</v>
      </c>
      <c r="G13" s="36"/>
      <c r="H13" s="36"/>
      <c r="I13" s="63"/>
      <c r="J13" s="41" t="str">
        <f t="shared" si="1"/>
        <v>#DIV/0!</v>
      </c>
      <c r="K13" s="38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ht="12.75" customHeight="1">
      <c r="A14" s="51"/>
      <c r="B14" s="35"/>
      <c r="C14" s="35"/>
      <c r="D14" s="68"/>
      <c r="E14" s="68"/>
      <c r="F14" s="73"/>
      <c r="G14" s="72"/>
      <c r="H14" s="36"/>
      <c r="I14" s="36"/>
      <c r="J14" s="41" t="str">
        <f t="shared" si="1"/>
        <v>#DIV/0!</v>
      </c>
      <c r="K14" s="38"/>
    </row>
    <row r="15" ht="12.75" customHeight="1">
      <c r="A15" s="51"/>
      <c r="B15" s="35"/>
      <c r="C15" s="35"/>
      <c r="D15" s="36"/>
      <c r="E15" s="36"/>
      <c r="F15" s="38"/>
      <c r="G15" s="48"/>
      <c r="H15" s="36"/>
      <c r="I15" s="36"/>
      <c r="J15" s="41" t="str">
        <f t="shared" si="1"/>
        <v>#DIV/0!</v>
      </c>
      <c r="K15" s="38"/>
    </row>
    <row r="16" ht="12.75" customHeight="1">
      <c r="A16" s="146"/>
      <c r="B16" s="35"/>
      <c r="C16" s="42"/>
      <c r="D16" s="36"/>
      <c r="E16" s="36"/>
      <c r="F16" s="38"/>
      <c r="G16" s="48"/>
      <c r="H16" s="36"/>
      <c r="I16" s="36"/>
      <c r="J16" s="36"/>
      <c r="K16" s="36"/>
    </row>
    <row r="17" ht="12.75" customHeight="1">
      <c r="A17" s="53"/>
      <c r="B17" s="56"/>
      <c r="C17" s="58"/>
      <c r="D17" s="59"/>
      <c r="E17" s="59"/>
      <c r="F17" s="59"/>
      <c r="G17" s="59"/>
      <c r="H17" s="60"/>
      <c r="I17" s="36"/>
      <c r="J17" s="36"/>
      <c r="K17" s="36"/>
    </row>
    <row r="18" ht="12.75" customHeight="1">
      <c r="A18" s="53"/>
      <c r="B18" s="62"/>
      <c r="C18" s="64"/>
      <c r="D18" s="63"/>
      <c r="E18" s="63"/>
      <c r="F18" s="63"/>
      <c r="G18" s="65"/>
      <c r="H18" s="41"/>
      <c r="I18" s="36"/>
      <c r="J18" s="36"/>
      <c r="K18" s="36"/>
    </row>
    <row r="19" ht="12.75" customHeight="1">
      <c r="A19" s="53"/>
      <c r="B19" s="71"/>
      <c r="C19" s="42"/>
      <c r="D19" s="36"/>
      <c r="E19" s="36"/>
      <c r="F19" s="36"/>
      <c r="G19" s="48"/>
      <c r="H19" s="36"/>
      <c r="I19" s="36"/>
      <c r="J19" s="36"/>
      <c r="K19" s="36"/>
    </row>
    <row r="20" ht="12.75" customHeight="1">
      <c r="A20" s="53"/>
      <c r="B20" s="71"/>
      <c r="C20" s="42"/>
      <c r="D20" s="36"/>
      <c r="E20" s="36"/>
      <c r="F20" s="36"/>
      <c r="G20" s="48"/>
      <c r="H20" s="36"/>
      <c r="I20" s="36"/>
      <c r="J20" s="36"/>
      <c r="K20" s="36"/>
    </row>
    <row r="21" ht="12.75" customHeight="1">
      <c r="A21" s="143"/>
      <c r="B21" s="42"/>
      <c r="C21" s="42"/>
      <c r="D21" s="36"/>
      <c r="E21" s="36"/>
      <c r="F21" s="48"/>
      <c r="G21" s="36"/>
      <c r="H21" s="36"/>
      <c r="I21" s="36"/>
      <c r="J21" s="36"/>
      <c r="K21" s="36"/>
    </row>
    <row r="22" ht="12.75" customHeight="1">
      <c r="A22" s="87" t="str">
        <f>template!$A$50</f>
        <v>30/5/2569</v>
      </c>
      <c r="B22" s="67" t="s">
        <v>157</v>
      </c>
      <c r="C22" s="70"/>
      <c r="D22" s="147">
        <v>2000.0</v>
      </c>
      <c r="E22" s="36"/>
      <c r="F22" s="48"/>
      <c r="G22" s="36"/>
      <c r="H22" s="36"/>
      <c r="I22" s="36"/>
      <c r="J22" s="36"/>
      <c r="K22" s="36"/>
    </row>
    <row r="23" ht="12.75" customHeight="1">
      <c r="A23" s="87">
        <f>template!$A$48</f>
        <v>244627</v>
      </c>
      <c r="B23" s="42" t="s">
        <v>77</v>
      </c>
      <c r="C23" s="42"/>
      <c r="D23" s="36"/>
      <c r="E23" s="36"/>
      <c r="F23" s="48"/>
      <c r="G23" s="36">
        <f t="shared" ref="G23:G25" si="2">I39</f>
        <v>7800</v>
      </c>
      <c r="H23" s="36"/>
      <c r="I23" s="36"/>
      <c r="J23" s="36"/>
      <c r="K23" s="36"/>
    </row>
    <row r="24" ht="12.75" customHeight="1">
      <c r="A24" s="87" t="str">
        <f>template!$A$49</f>
        <v>20/5/2569</v>
      </c>
      <c r="B24" s="42" t="s">
        <v>77</v>
      </c>
      <c r="C24" s="42"/>
      <c r="D24" s="36"/>
      <c r="E24" s="36"/>
      <c r="F24" s="48"/>
      <c r="G24" s="36">
        <f t="shared" si="2"/>
        <v>5000</v>
      </c>
      <c r="H24" s="36"/>
      <c r="I24" s="36"/>
      <c r="J24" s="36"/>
      <c r="K24" s="36"/>
    </row>
    <row r="25" ht="12.75" customHeight="1">
      <c r="A25" s="87" t="str">
        <f>template!$A$50</f>
        <v>30/5/2569</v>
      </c>
      <c r="B25" s="42" t="s">
        <v>77</v>
      </c>
      <c r="C25" s="42"/>
      <c r="D25" s="36"/>
      <c r="E25" s="36"/>
      <c r="F25" s="48"/>
      <c r="G25" s="36">
        <f t="shared" si="2"/>
        <v>7000</v>
      </c>
      <c r="H25" s="36"/>
      <c r="I25" s="36"/>
      <c r="J25" s="36"/>
      <c r="K25" s="36"/>
    </row>
    <row r="26" ht="12.75" customHeight="1">
      <c r="A26" s="87" t="str">
        <f>template!$A$50</f>
        <v>30/5/2569</v>
      </c>
      <c r="B26" s="71" t="s">
        <v>158</v>
      </c>
      <c r="C26" s="82"/>
      <c r="D26" s="84">
        <v>6000.0</v>
      </c>
      <c r="E26" s="59"/>
      <c r="F26" s="59"/>
      <c r="G26" s="59"/>
      <c r="H26" s="60"/>
      <c r="I26" s="36"/>
      <c r="J26" s="36"/>
      <c r="K26" s="36"/>
    </row>
    <row r="27" ht="12.75" customHeight="1">
      <c r="A27" s="87" t="str">
        <f>template!$A$50</f>
        <v>30/5/2569</v>
      </c>
      <c r="B27" s="56" t="s">
        <v>83</v>
      </c>
      <c r="C27" s="58"/>
      <c r="D27" s="59"/>
      <c r="E27" s="59"/>
      <c r="F27" s="59"/>
      <c r="G27" s="59"/>
      <c r="H27" s="60">
        <f>E1</f>
        <v>12000</v>
      </c>
      <c r="I27" s="36"/>
      <c r="J27" s="36"/>
      <c r="K27" s="36"/>
    </row>
    <row r="28" ht="12.75" customHeight="1">
      <c r="A28" s="87" t="str">
        <f>template!$A$50</f>
        <v>30/5/2569</v>
      </c>
      <c r="B28" s="96" t="s">
        <v>159</v>
      </c>
      <c r="C28" s="64"/>
      <c r="D28" s="81">
        <v>2000.0</v>
      </c>
      <c r="E28" s="63"/>
      <c r="F28" s="63"/>
      <c r="G28" s="97"/>
      <c r="H28" s="68"/>
      <c r="I28" s="36"/>
      <c r="J28" s="36"/>
      <c r="K28" s="36"/>
    </row>
    <row r="29" ht="12.75" customHeight="1">
      <c r="A29" s="87" t="str">
        <f>template!$A$50</f>
        <v>30/5/2569</v>
      </c>
      <c r="B29" s="62" t="s">
        <v>85</v>
      </c>
      <c r="C29" s="64"/>
      <c r="D29" s="63"/>
      <c r="E29" s="63"/>
      <c r="F29" s="63"/>
      <c r="G29" s="65">
        <f>G41</f>
        <v>7000</v>
      </c>
      <c r="H29" s="68"/>
      <c r="I29" s="36"/>
      <c r="J29" s="36"/>
      <c r="K29" s="36"/>
    </row>
    <row r="30" ht="12.75" customHeight="1">
      <c r="A30" s="87" t="str">
        <f>template!$A$50</f>
        <v>30/5/2569</v>
      </c>
      <c r="B30" s="71" t="s">
        <v>11</v>
      </c>
      <c r="C30" s="82"/>
      <c r="D30" s="41"/>
      <c r="E30" s="41"/>
      <c r="F30" s="41"/>
      <c r="G30" s="41"/>
      <c r="H30" s="84">
        <f>C53</f>
        <v>-875</v>
      </c>
      <c r="I30" s="36"/>
      <c r="J30" s="36"/>
      <c r="K30" s="36"/>
    </row>
    <row r="31" ht="12.75" customHeight="1">
      <c r="A31" s="93"/>
      <c r="B31" s="93"/>
      <c r="C31" s="95"/>
      <c r="D31" s="30">
        <f t="shared" ref="D31:H31" si="3">SUM(D7:D30)</f>
        <v>10000</v>
      </c>
      <c r="E31" s="30">
        <f t="shared" si="3"/>
        <v>0</v>
      </c>
      <c r="F31" s="30">
        <f t="shared" si="3"/>
        <v>66400</v>
      </c>
      <c r="G31" s="30">
        <f t="shared" si="3"/>
        <v>26800</v>
      </c>
      <c r="H31" s="30">
        <f t="shared" si="3"/>
        <v>11125</v>
      </c>
      <c r="I31" s="30"/>
      <c r="J31" s="30" t="str">
        <f>SUM(J7:J30)</f>
        <v>#DIV/0!</v>
      </c>
      <c r="K31" s="98"/>
    </row>
    <row r="32" ht="12.75" customHeight="1">
      <c r="A32" s="46" t="s">
        <v>98</v>
      </c>
      <c r="B32" s="99">
        <f>H27+G28+G29+H30-D26</f>
        <v>12125</v>
      </c>
      <c r="C32" s="100" t="s">
        <v>88</v>
      </c>
      <c r="D32" s="101">
        <f>SUMIF(B7:B30, "*"&amp;"น้ำมัน"&amp;"*", F7:F30)</f>
        <v>65000</v>
      </c>
    </row>
    <row r="33" ht="12.75" customHeight="1">
      <c r="A33" s="46" t="s">
        <v>90</v>
      </c>
      <c r="B33" s="99">
        <f>sum(F31:H31)</f>
        <v>104325</v>
      </c>
      <c r="C33" s="100" t="s">
        <v>92</v>
      </c>
      <c r="D33" s="101">
        <f>F31-D32</f>
        <v>1400</v>
      </c>
    </row>
    <row r="34" ht="12.75" customHeight="1">
      <c r="A34" s="100" t="s">
        <v>93</v>
      </c>
      <c r="B34" s="101">
        <f>J41-B33</f>
        <v>31017.9</v>
      </c>
    </row>
    <row r="35" ht="12.75" customHeight="1"/>
    <row r="36" ht="12.75" customHeight="1"/>
    <row r="37" ht="12.75" customHeight="1">
      <c r="A37" s="19" t="s">
        <v>23</v>
      </c>
      <c r="B37" s="30"/>
      <c r="C37" s="21" t="s">
        <v>95</v>
      </c>
      <c r="D37" s="23"/>
      <c r="E37" s="23"/>
      <c r="F37" s="22"/>
      <c r="G37" s="82"/>
      <c r="H37" s="82"/>
      <c r="I37" s="70"/>
      <c r="J37" s="82"/>
      <c r="K37" s="82" t="s">
        <v>97</v>
      </c>
      <c r="L37" s="82" t="s">
        <v>99</v>
      </c>
      <c r="M37" s="82" t="s">
        <v>26</v>
      </c>
    </row>
    <row r="38" ht="12.75" customHeight="1">
      <c r="A38" s="29"/>
      <c r="B38" s="30" t="s">
        <v>100</v>
      </c>
      <c r="C38" s="30" t="s">
        <v>101</v>
      </c>
      <c r="D38" s="30" t="s">
        <v>102</v>
      </c>
      <c r="E38" s="30" t="s">
        <v>103</v>
      </c>
      <c r="F38" s="30" t="s">
        <v>104</v>
      </c>
      <c r="G38" s="21" t="s">
        <v>85</v>
      </c>
      <c r="H38" s="102" t="s">
        <v>105</v>
      </c>
      <c r="I38" s="102" t="s">
        <v>106</v>
      </c>
      <c r="J38" s="30" t="s">
        <v>116</v>
      </c>
      <c r="K38" s="82" t="s">
        <v>101</v>
      </c>
      <c r="L38" s="82">
        <v>100.0</v>
      </c>
      <c r="M38" s="82">
        <v>630.0</v>
      </c>
    </row>
    <row r="39" ht="12.75" customHeight="1">
      <c r="A39" s="87">
        <f>template!$A$48</f>
        <v>244627</v>
      </c>
      <c r="B39" s="115">
        <v>1.0</v>
      </c>
      <c r="C39" s="115">
        <v>53.0</v>
      </c>
      <c r="D39" s="115">
        <v>24.0</v>
      </c>
      <c r="E39" s="104"/>
      <c r="F39" s="104">
        <f t="shared" ref="F39:F41" si="4">sum(B39:E39)</f>
        <v>78</v>
      </c>
      <c r="G39" s="105">
        <v>0.0</v>
      </c>
      <c r="H39" s="106">
        <f t="shared" ref="H39:H40" si="5">F39*$L$38</f>
        <v>7800</v>
      </c>
      <c r="I39" s="120">
        <v>7800.0</v>
      </c>
      <c r="J39" s="82">
        <f t="shared" ref="J39:J41" si="6">(((B39+C39)*$M$38)+(D39*$M$39)+(E39*$M$40))*0.99</f>
        <v>49836.6</v>
      </c>
      <c r="K39" s="82" t="s">
        <v>102</v>
      </c>
      <c r="L39" s="82">
        <v>100.0</v>
      </c>
      <c r="M39" s="82">
        <v>680.0</v>
      </c>
    </row>
    <row r="40" ht="12.75" customHeight="1">
      <c r="A40" s="87" t="str">
        <f>template!$A$49</f>
        <v>20/5/2569</v>
      </c>
      <c r="B40" s="115">
        <v>1.0</v>
      </c>
      <c r="C40" s="115">
        <v>90.0</v>
      </c>
      <c r="D40" s="115">
        <v>40.0</v>
      </c>
      <c r="E40" s="104"/>
      <c r="F40" s="104">
        <f t="shared" si="4"/>
        <v>131</v>
      </c>
      <c r="G40" s="105">
        <v>0.0</v>
      </c>
      <c r="H40" s="106">
        <f t="shared" si="5"/>
        <v>13100</v>
      </c>
      <c r="I40" s="121">
        <v>5000.0</v>
      </c>
      <c r="J40" s="82">
        <f t="shared" si="6"/>
        <v>83684.7</v>
      </c>
      <c r="K40" s="82" t="s">
        <v>103</v>
      </c>
      <c r="L40" s="82">
        <v>100.0</v>
      </c>
      <c r="M40" s="82">
        <v>680.0</v>
      </c>
    </row>
    <row r="41" ht="12.75" customHeight="1">
      <c r="A41" s="87" t="str">
        <f>template!$A$50</f>
        <v>30/5/2569</v>
      </c>
      <c r="B41" s="115">
        <v>2.0</v>
      </c>
      <c r="C41" s="115">
        <v>147.0</v>
      </c>
      <c r="D41" s="115">
        <v>63.0</v>
      </c>
      <c r="E41" s="104"/>
      <c r="F41" s="104">
        <f t="shared" si="4"/>
        <v>212</v>
      </c>
      <c r="G41" s="122">
        <f>IF(F41&lt;150, 0, ((INT(F41/10)*10 - 140) / 10) * 1000)</f>
        <v>7000</v>
      </c>
      <c r="H41" s="106">
        <f>(F41*$L$39)</f>
        <v>21200</v>
      </c>
      <c r="I41" s="121">
        <v>7000.0</v>
      </c>
      <c r="J41" s="82">
        <f t="shared" si="6"/>
        <v>135342.9</v>
      </c>
    </row>
    <row r="42" ht="12.75" customHeight="1">
      <c r="B42" s="109"/>
      <c r="C42" s="110"/>
      <c r="D42" s="110"/>
      <c r="E42" s="110"/>
      <c r="F42" s="110"/>
      <c r="G42" s="111" t="s">
        <v>109</v>
      </c>
      <c r="H42" s="111"/>
      <c r="I42" s="112">
        <f>SUM(I39:I41)</f>
        <v>19800</v>
      </c>
      <c r="J42" s="111"/>
      <c r="L42" s="100" t="s">
        <v>110</v>
      </c>
    </row>
    <row r="43" ht="12.75" customHeight="1">
      <c r="G43" s="113" t="s">
        <v>111</v>
      </c>
      <c r="H43" s="114">
        <f>H41-I42</f>
        <v>1400</v>
      </c>
      <c r="I43" s="46"/>
      <c r="L43" s="100">
        <v>150.0</v>
      </c>
      <c r="M43" s="100">
        <v>1000.0</v>
      </c>
    </row>
    <row r="44" ht="12.75" customHeight="1">
      <c r="L44" s="100">
        <v>160.0</v>
      </c>
      <c r="M44" s="100">
        <v>2000.0</v>
      </c>
    </row>
    <row r="45" ht="12.75" customHeight="1">
      <c r="L45" s="100">
        <v>170.0</v>
      </c>
      <c r="M45" s="100">
        <v>3000.0</v>
      </c>
    </row>
    <row r="46" ht="12.75" customHeight="1">
      <c r="B46" s="100" t="s">
        <v>112</v>
      </c>
      <c r="C46" s="124" t="str">
        <f>C2</f>
        <v>สายัน หงษ์สันเทียะ</v>
      </c>
      <c r="L46" s="100">
        <v>180.0</v>
      </c>
      <c r="M46" s="100">
        <v>4000.0</v>
      </c>
    </row>
    <row r="47" ht="12.75" customHeight="1">
      <c r="B47" s="100" t="s">
        <v>113</v>
      </c>
      <c r="F47" s="100">
        <f>D32/F41</f>
        <v>306.6037736</v>
      </c>
      <c r="L47" s="100">
        <v>190.0</v>
      </c>
      <c r="M47" s="100">
        <v>5000.0</v>
      </c>
    </row>
    <row r="48" ht="12.75" customHeight="1">
      <c r="B48" s="100" t="s">
        <v>4</v>
      </c>
      <c r="C48" s="125">
        <f>IF(F$41&gt;120, E$1, E$1-2000)</f>
        <v>12000</v>
      </c>
      <c r="L48" s="100">
        <v>200.0</v>
      </c>
      <c r="M48" s="100">
        <v>6000.0</v>
      </c>
    </row>
    <row r="49" ht="12.75" customHeight="1">
      <c r="B49" s="100" t="s">
        <v>115</v>
      </c>
      <c r="C49" s="122">
        <f>H41</f>
        <v>21200</v>
      </c>
      <c r="L49" s="100">
        <v>210.0</v>
      </c>
      <c r="M49" s="100">
        <v>7000.0</v>
      </c>
    </row>
    <row r="50" ht="12.75" customHeight="1">
      <c r="B50" s="100" t="s">
        <v>85</v>
      </c>
      <c r="C50" s="122">
        <f>G41</f>
        <v>7000</v>
      </c>
      <c r="L50" s="100">
        <v>220.0</v>
      </c>
      <c r="M50" s="100">
        <v>8000.0</v>
      </c>
    </row>
    <row r="51" ht="12.75" customHeight="1">
      <c r="B51" s="126"/>
      <c r="C51" s="122"/>
      <c r="L51" s="100">
        <v>230.0</v>
      </c>
      <c r="M51" s="100">
        <v>9000.0</v>
      </c>
    </row>
    <row r="52" ht="12.75" customHeight="1">
      <c r="B52" s="127" t="s">
        <v>116</v>
      </c>
      <c r="C52" s="128">
        <f>sum(C48:C51)</f>
        <v>40200</v>
      </c>
    </row>
    <row r="53" ht="12.75" customHeight="1">
      <c r="B53" s="127" t="s">
        <v>117</v>
      </c>
      <c r="C53" s="127">
        <f>-MIN(C52*5%, 875)</f>
        <v>-875</v>
      </c>
    </row>
    <row r="54" ht="12.75" customHeight="1">
      <c r="B54" s="129" t="s">
        <v>118</v>
      </c>
      <c r="C54" s="127">
        <f t="shared" ref="C54:C55" si="7">-I39</f>
        <v>-7800</v>
      </c>
    </row>
    <row r="55" ht="12.75" customHeight="1">
      <c r="B55" s="129" t="s">
        <v>120</v>
      </c>
      <c r="C55" s="127">
        <f t="shared" si="7"/>
        <v>-5000</v>
      </c>
    </row>
    <row r="56" ht="12.75" customHeight="1">
      <c r="B56" s="100" t="s">
        <v>170</v>
      </c>
      <c r="C56" s="100">
        <v>-6000.0</v>
      </c>
    </row>
    <row r="57" ht="12.75" customHeight="1">
      <c r="B57" s="126" t="s">
        <v>171</v>
      </c>
      <c r="C57" s="100">
        <v>-2000.0</v>
      </c>
    </row>
    <row r="58" ht="12.75" customHeight="1">
      <c r="B58" s="126" t="s">
        <v>172</v>
      </c>
      <c r="C58" s="100">
        <v>-2000.0</v>
      </c>
    </row>
    <row r="59" ht="12.75" customHeight="1">
      <c r="B59" s="100" t="s">
        <v>121</v>
      </c>
      <c r="C59" s="122">
        <f>sum(C52:C58)</f>
        <v>16525</v>
      </c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8">
    <mergeCell ref="A5:A6"/>
    <mergeCell ref="B5:B6"/>
    <mergeCell ref="C5:C6"/>
    <mergeCell ref="D5:E5"/>
    <mergeCell ref="F5:H5"/>
    <mergeCell ref="J5:J6"/>
    <mergeCell ref="A37:A38"/>
    <mergeCell ref="C37:F37"/>
  </mergeCells>
  <conditionalFormatting sqref="B34">
    <cfRule type="cellIs" dxfId="0" priority="1" operator="greaterThan">
      <formula>0</formula>
    </cfRule>
  </conditionalFormatting>
  <conditionalFormatting sqref="B34">
    <cfRule type="cellIs" dxfId="1" priority="2" operator="lessThan">
      <formula>0</formula>
    </cfRule>
  </conditionalFormatting>
  <dataValidations>
    <dataValidation type="list" allowBlank="1" showErrorMessage="1" sqref="K18:K30">
      <formula1>"บิลสมบูรณ์,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K17">
      <formula1>"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B34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4.13"/>
    <col customWidth="1" min="4" max="5" width="15.5"/>
    <col customWidth="1" min="6" max="8" width="14.5"/>
    <col customWidth="1" min="9" max="10" width="15.5"/>
    <col customWidth="1" min="11" max="11" width="38.13"/>
    <col customWidth="1" min="12" max="35" width="8.88"/>
  </cols>
  <sheetData>
    <row r="1">
      <c r="A1" s="1" t="s">
        <v>2</v>
      </c>
      <c r="B1" s="1"/>
      <c r="C1" s="1" t="str">
        <f>template!$C$1</f>
        <v>พฤษภาคม2569</v>
      </c>
      <c r="D1" s="1" t="s">
        <v>4</v>
      </c>
      <c r="E1" s="1">
        <v>13000.0</v>
      </c>
      <c r="F1" s="1"/>
      <c r="G1" s="1" t="s">
        <v>11</v>
      </c>
      <c r="H1" s="1"/>
      <c r="I1" s="1"/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152</v>
      </c>
      <c r="B2" s="9"/>
      <c r="C2" s="9" t="s">
        <v>153</v>
      </c>
      <c r="D2" s="13" t="s">
        <v>9</v>
      </c>
      <c r="E2" s="13">
        <v>0.0</v>
      </c>
      <c r="F2" s="15"/>
      <c r="G2" s="15"/>
      <c r="H2" s="15"/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154</v>
      </c>
      <c r="B3" s="9"/>
      <c r="C3" s="9">
        <v>3.100501751398E12</v>
      </c>
      <c r="D3" s="1" t="s">
        <v>155</v>
      </c>
      <c r="E3" s="9"/>
      <c r="F3" s="15"/>
      <c r="G3" s="15"/>
      <c r="H3" s="15"/>
      <c r="I3" s="17" t="str">
        <f>'ทะเบียน ประกัน'!C8</f>
        <v>74-9438</v>
      </c>
      <c r="J3" s="17" t="str">
        <f>'ทะเบียน ประกัน'!I8</f>
        <v>74-9697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244354.0</v>
      </c>
      <c r="B7" s="35" t="s">
        <v>41</v>
      </c>
      <c r="C7" s="35">
        <v>54.0</v>
      </c>
      <c r="D7" s="36"/>
      <c r="E7" s="36"/>
      <c r="F7" s="40">
        <v>12100.0</v>
      </c>
      <c r="G7" s="36"/>
      <c r="H7" s="36"/>
      <c r="I7" s="36"/>
      <c r="J7" s="41">
        <f t="shared" ref="J7:J9" si="1">F7/C7</f>
        <v>224.0740741</v>
      </c>
      <c r="K7" s="36"/>
      <c r="N7" s="43"/>
    </row>
    <row r="8" ht="12.75" customHeight="1">
      <c r="A8" s="34">
        <v>244505.0</v>
      </c>
      <c r="B8" s="35" t="s">
        <v>41</v>
      </c>
      <c r="C8" s="35">
        <v>51.0</v>
      </c>
      <c r="D8" s="36"/>
      <c r="E8" s="36"/>
      <c r="F8" s="40">
        <v>12100.0</v>
      </c>
      <c r="G8" s="36"/>
      <c r="H8" s="36"/>
      <c r="I8" s="36"/>
      <c r="J8" s="41">
        <f t="shared" si="1"/>
        <v>237.254902</v>
      </c>
      <c r="K8" s="38" t="s">
        <v>160</v>
      </c>
    </row>
    <row r="9" ht="12.75" customHeight="1">
      <c r="A9" s="34">
        <v>244688.0</v>
      </c>
      <c r="B9" s="35" t="s">
        <v>41</v>
      </c>
      <c r="C9" s="35">
        <v>49.0</v>
      </c>
      <c r="D9" s="36"/>
      <c r="E9" s="36"/>
      <c r="F9" s="40">
        <v>12100.0</v>
      </c>
      <c r="G9" s="36"/>
      <c r="H9" s="48"/>
      <c r="I9" s="36"/>
      <c r="J9" s="41">
        <f t="shared" si="1"/>
        <v>246.9387755</v>
      </c>
      <c r="K9" s="38" t="s">
        <v>161</v>
      </c>
    </row>
    <row r="10" ht="12.75" customHeight="1">
      <c r="A10" s="91" t="s">
        <v>48</v>
      </c>
      <c r="B10" s="35" t="s">
        <v>162</v>
      </c>
      <c r="C10" s="35"/>
      <c r="D10" s="36"/>
      <c r="E10" s="36"/>
      <c r="F10" s="38">
        <v>260.0</v>
      </c>
      <c r="G10" s="48"/>
      <c r="H10" s="36"/>
      <c r="I10" s="36"/>
      <c r="J10" s="41"/>
      <c r="K10" s="36"/>
    </row>
    <row r="11" ht="12.75" customHeight="1">
      <c r="A11" s="91" t="s">
        <v>72</v>
      </c>
      <c r="B11" s="35" t="s">
        <v>163</v>
      </c>
      <c r="C11" s="42"/>
      <c r="D11" s="36"/>
      <c r="E11" s="36"/>
      <c r="F11" s="57">
        <v>770.4</v>
      </c>
      <c r="G11" s="48"/>
      <c r="H11" s="42"/>
      <c r="I11" s="36"/>
      <c r="J11" s="36"/>
      <c r="K11" s="36"/>
    </row>
    <row r="12" ht="12.75" customHeight="1">
      <c r="A12" s="51" t="s">
        <v>164</v>
      </c>
      <c r="B12" s="35" t="s">
        <v>41</v>
      </c>
      <c r="C12" s="35">
        <v>49.0</v>
      </c>
      <c r="D12" s="36"/>
      <c r="E12" s="36"/>
      <c r="F12" s="40">
        <v>12100.0</v>
      </c>
      <c r="G12" s="36"/>
      <c r="H12" s="36"/>
      <c r="I12" s="36"/>
      <c r="J12" s="41">
        <f>F12/C12</f>
        <v>246.9387755</v>
      </c>
      <c r="K12" s="38" t="s">
        <v>165</v>
      </c>
    </row>
    <row r="13" ht="12.75" customHeight="1">
      <c r="A13" s="51" t="s">
        <v>166</v>
      </c>
      <c r="B13" s="35" t="s">
        <v>41</v>
      </c>
      <c r="C13" s="92">
        <v>48.0</v>
      </c>
      <c r="D13" s="41"/>
      <c r="E13" s="41"/>
      <c r="F13" s="148">
        <v>12100.0</v>
      </c>
      <c r="G13" s="36"/>
      <c r="H13" s="36"/>
      <c r="I13" s="36"/>
      <c r="J13" s="41"/>
      <c r="K13" s="36"/>
    </row>
    <row r="14" ht="12.75" customHeight="1">
      <c r="A14" s="91" t="s">
        <v>60</v>
      </c>
      <c r="B14" s="35" t="s">
        <v>167</v>
      </c>
      <c r="C14" s="66"/>
      <c r="D14" s="68"/>
      <c r="E14" s="68"/>
      <c r="F14" s="73">
        <v>1250.0</v>
      </c>
      <c r="G14" s="72"/>
      <c r="H14" s="36"/>
      <c r="I14" s="36"/>
      <c r="J14" s="41"/>
      <c r="K14" s="36"/>
    </row>
    <row r="15" ht="12.75" customHeight="1">
      <c r="A15" s="53"/>
      <c r="B15" s="54"/>
      <c r="C15" s="35"/>
      <c r="D15" s="36"/>
      <c r="E15" s="36"/>
      <c r="F15" s="38"/>
      <c r="G15" s="48"/>
      <c r="H15" s="36"/>
      <c r="I15" s="36"/>
      <c r="J15" s="36"/>
      <c r="K15" s="36"/>
    </row>
    <row r="16" ht="12.75" customHeight="1">
      <c r="A16" s="51"/>
      <c r="B16" s="67"/>
      <c r="C16" s="42"/>
      <c r="D16" s="36"/>
      <c r="E16" s="36"/>
      <c r="F16" s="38"/>
      <c r="G16" s="48"/>
      <c r="H16" s="36"/>
      <c r="I16" s="36"/>
      <c r="J16" s="36"/>
      <c r="K16" s="36"/>
    </row>
    <row r="17" ht="12.75" customHeight="1">
      <c r="A17" s="51"/>
      <c r="B17" s="76"/>
      <c r="C17" s="58"/>
      <c r="D17" s="59"/>
      <c r="E17" s="59"/>
      <c r="F17" s="80"/>
      <c r="G17" s="59"/>
      <c r="H17" s="60"/>
      <c r="I17" s="36"/>
      <c r="J17" s="36"/>
      <c r="K17" s="36"/>
    </row>
    <row r="18" ht="12.75" customHeight="1">
      <c r="A18" s="51"/>
      <c r="B18" s="35"/>
      <c r="C18" s="42"/>
      <c r="D18" s="36"/>
      <c r="E18" s="48"/>
      <c r="F18" s="38"/>
      <c r="G18" s="65"/>
      <c r="H18" s="41"/>
      <c r="I18" s="36"/>
      <c r="J18" s="36"/>
      <c r="K18" s="36"/>
    </row>
    <row r="19" ht="12.75" customHeight="1">
      <c r="A19" s="53"/>
      <c r="B19" s="56"/>
      <c r="C19" s="58"/>
      <c r="D19" s="59"/>
      <c r="E19" s="59"/>
      <c r="F19" s="59"/>
      <c r="G19" s="59"/>
      <c r="H19" s="60"/>
      <c r="I19" s="36"/>
      <c r="J19" s="36"/>
      <c r="K19" s="36"/>
    </row>
    <row r="20" ht="12.75" customHeight="1">
      <c r="A20" s="53"/>
      <c r="B20" s="62"/>
      <c r="C20" s="64"/>
      <c r="D20" s="63"/>
      <c r="E20" s="63"/>
      <c r="F20" s="63"/>
      <c r="G20" s="65"/>
      <c r="H20" s="41"/>
      <c r="I20" s="59"/>
      <c r="J20" s="59"/>
      <c r="K20" s="3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</row>
    <row r="21" ht="12.75" customHeight="1">
      <c r="A21" s="53"/>
      <c r="B21" s="62"/>
      <c r="C21" s="64"/>
      <c r="D21" s="63"/>
      <c r="E21" s="63"/>
      <c r="F21" s="63"/>
      <c r="G21" s="65"/>
      <c r="H21" s="41"/>
      <c r="I21" s="63"/>
      <c r="J21" s="63"/>
      <c r="K21" s="3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</row>
    <row r="22" ht="12.75" customHeight="1">
      <c r="A22" s="53"/>
      <c r="B22" s="71"/>
      <c r="C22" s="42"/>
      <c r="D22" s="36"/>
      <c r="E22" s="36"/>
      <c r="F22" s="36"/>
      <c r="G22" s="48"/>
      <c r="H22" s="36"/>
      <c r="I22" s="36"/>
      <c r="J22" s="36"/>
      <c r="K22" s="36"/>
    </row>
    <row r="23" ht="12.75" customHeight="1">
      <c r="A23" s="53"/>
      <c r="B23" s="71"/>
      <c r="C23" s="70"/>
      <c r="D23" s="84"/>
      <c r="E23" s="41"/>
      <c r="F23" s="41"/>
      <c r="G23" s="41"/>
      <c r="H23" s="41"/>
      <c r="I23" s="63"/>
      <c r="J23" s="63"/>
      <c r="K23" s="3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</row>
    <row r="24" ht="12.75" customHeight="1">
      <c r="A24" s="87">
        <f>template!$A$48</f>
        <v>244627</v>
      </c>
      <c r="B24" s="42" t="s">
        <v>77</v>
      </c>
      <c r="C24" s="42"/>
      <c r="D24" s="36"/>
      <c r="E24" s="36"/>
      <c r="F24" s="48"/>
      <c r="G24" s="36">
        <f t="shared" ref="G24:G26" si="2">I40</f>
        <v>8900</v>
      </c>
      <c r="H24" s="36"/>
      <c r="I24" s="36"/>
      <c r="J24" s="36"/>
      <c r="K24" s="36"/>
    </row>
    <row r="25" ht="12.75" customHeight="1">
      <c r="A25" s="87" t="str">
        <f>template!$A$49</f>
        <v>20/5/2569</v>
      </c>
      <c r="B25" s="42" t="s">
        <v>77</v>
      </c>
      <c r="C25" s="42"/>
      <c r="D25" s="36"/>
      <c r="E25" s="36"/>
      <c r="F25" s="48"/>
      <c r="G25" s="36">
        <f t="shared" si="2"/>
        <v>8300</v>
      </c>
      <c r="H25" s="36"/>
      <c r="I25" s="36"/>
      <c r="J25" s="36"/>
      <c r="K25" s="36"/>
    </row>
    <row r="26" ht="12.75" customHeight="1">
      <c r="A26" s="87" t="str">
        <f>template!$A$50</f>
        <v>30/5/2569</v>
      </c>
      <c r="B26" s="42" t="s">
        <v>77</v>
      </c>
      <c r="C26" s="42"/>
      <c r="D26" s="36"/>
      <c r="E26" s="36"/>
      <c r="F26" s="48"/>
      <c r="G26" s="36">
        <f t="shared" si="2"/>
        <v>8900</v>
      </c>
      <c r="H26" s="36"/>
      <c r="I26" s="36"/>
      <c r="J26" s="36"/>
      <c r="K26" s="36"/>
    </row>
    <row r="27" ht="12.75" customHeight="1">
      <c r="A27" s="87" t="str">
        <f>template!$A$50</f>
        <v>30/5/2569</v>
      </c>
      <c r="B27" s="67" t="s">
        <v>169</v>
      </c>
      <c r="C27" s="58"/>
      <c r="D27" s="59">
        <v>2000.0</v>
      </c>
      <c r="E27" s="59"/>
      <c r="F27" s="59"/>
      <c r="G27" s="59"/>
      <c r="H27" s="60"/>
      <c r="I27" s="36"/>
      <c r="J27" s="36"/>
      <c r="K27" s="36"/>
    </row>
    <row r="28" ht="12.75" customHeight="1">
      <c r="A28" s="87" t="str">
        <f>template!$A$50</f>
        <v>30/5/2569</v>
      </c>
      <c r="B28" s="56" t="s">
        <v>83</v>
      </c>
      <c r="C28" s="58"/>
      <c r="D28" s="59"/>
      <c r="E28" s="59"/>
      <c r="F28" s="59"/>
      <c r="G28" s="59"/>
      <c r="H28" s="60">
        <f>E1</f>
        <v>13000</v>
      </c>
      <c r="I28" s="36"/>
      <c r="J28" s="36"/>
      <c r="K28" s="36"/>
    </row>
    <row r="29" ht="12.75" customHeight="1">
      <c r="A29" s="87" t="str">
        <f>template!$A$50</f>
        <v>30/5/2569</v>
      </c>
      <c r="B29" s="96" t="s">
        <v>91</v>
      </c>
      <c r="C29" s="64"/>
      <c r="D29" s="63"/>
      <c r="E29" s="63"/>
      <c r="F29" s="63"/>
      <c r="G29" s="97">
        <v>0.0</v>
      </c>
      <c r="H29" s="68"/>
      <c r="I29" s="36"/>
      <c r="J29" s="36"/>
      <c r="K29" s="36"/>
    </row>
    <row r="30" ht="12.75" customHeight="1">
      <c r="A30" s="87" t="str">
        <f>template!$A$50</f>
        <v>30/5/2569</v>
      </c>
      <c r="B30" s="62" t="s">
        <v>85</v>
      </c>
      <c r="C30" s="64"/>
      <c r="D30" s="63"/>
      <c r="E30" s="63"/>
      <c r="F30" s="63"/>
      <c r="G30" s="65">
        <f>G42</f>
        <v>12000</v>
      </c>
      <c r="H30" s="68"/>
      <c r="I30" s="36"/>
      <c r="J30" s="36"/>
      <c r="K30" s="36"/>
    </row>
    <row r="31" ht="12.75" customHeight="1">
      <c r="A31" s="87" t="str">
        <f>template!$A$50</f>
        <v>30/5/2569</v>
      </c>
      <c r="B31" s="71" t="s">
        <v>11</v>
      </c>
      <c r="C31" s="82"/>
      <c r="D31" s="41"/>
      <c r="E31" s="41"/>
      <c r="F31" s="41"/>
      <c r="G31" s="41"/>
      <c r="H31" s="84">
        <f>C53</f>
        <v>-875</v>
      </c>
      <c r="I31" s="36"/>
      <c r="J31" s="36"/>
      <c r="K31" s="36"/>
    </row>
    <row r="32" ht="12.75" customHeight="1">
      <c r="A32" s="93"/>
      <c r="B32" s="93"/>
      <c r="C32" s="95"/>
      <c r="D32" s="30">
        <f t="shared" ref="D32:H32" si="3">SUM(D7:D31)</f>
        <v>2000</v>
      </c>
      <c r="E32" s="30">
        <f t="shared" si="3"/>
        <v>0</v>
      </c>
      <c r="F32" s="30">
        <f t="shared" si="3"/>
        <v>62780.4</v>
      </c>
      <c r="G32" s="30">
        <f t="shared" si="3"/>
        <v>38100</v>
      </c>
      <c r="H32" s="30">
        <f t="shared" si="3"/>
        <v>12125</v>
      </c>
      <c r="I32" s="30"/>
      <c r="J32" s="30">
        <f>SUM(J7:J31)</f>
        <v>955.2065271</v>
      </c>
      <c r="K32" s="98"/>
    </row>
    <row r="33" ht="12.75" customHeight="1">
      <c r="A33" s="46" t="s">
        <v>98</v>
      </c>
      <c r="B33" s="99">
        <f>H28+G29+G30+H31-D27</f>
        <v>22125</v>
      </c>
      <c r="C33" s="100" t="s">
        <v>88</v>
      </c>
      <c r="D33" s="101">
        <f>SUMIF(B7:B31, "*"&amp;"น้ำมัน"&amp;"*", F7:F31)</f>
        <v>60500</v>
      </c>
    </row>
    <row r="34" ht="12.75" customHeight="1">
      <c r="A34" s="46" t="s">
        <v>90</v>
      </c>
      <c r="B34" s="99">
        <f>sum(F32:H32)</f>
        <v>113005.4</v>
      </c>
      <c r="C34" s="100" t="s">
        <v>92</v>
      </c>
      <c r="D34" s="101">
        <f>F32-D33</f>
        <v>2280.4</v>
      </c>
    </row>
    <row r="35" ht="12.75" customHeight="1">
      <c r="A35" s="100" t="s">
        <v>93</v>
      </c>
      <c r="B35" s="101">
        <f>J42-B34</f>
        <v>53938.3</v>
      </c>
    </row>
    <row r="36" ht="12.75" customHeight="1"/>
    <row r="37" ht="12.75" customHeight="1"/>
    <row r="38" ht="12.75" customHeight="1">
      <c r="A38" s="19" t="s">
        <v>23</v>
      </c>
      <c r="B38" s="30"/>
      <c r="C38" s="21" t="s">
        <v>95</v>
      </c>
      <c r="D38" s="23"/>
      <c r="E38" s="23"/>
      <c r="F38" s="22"/>
      <c r="G38" s="82"/>
      <c r="H38" s="82"/>
      <c r="I38" s="70"/>
      <c r="J38" s="82"/>
      <c r="K38" s="82" t="s">
        <v>97</v>
      </c>
      <c r="L38" s="82" t="s">
        <v>99</v>
      </c>
      <c r="M38" s="82" t="s">
        <v>26</v>
      </c>
    </row>
    <row r="39" ht="12.75" customHeight="1">
      <c r="A39" s="29"/>
      <c r="B39" s="30" t="s">
        <v>100</v>
      </c>
      <c r="C39" s="30" t="s">
        <v>101</v>
      </c>
      <c r="D39" s="30" t="s">
        <v>102</v>
      </c>
      <c r="E39" s="30" t="s">
        <v>103</v>
      </c>
      <c r="F39" s="30" t="s">
        <v>104</v>
      </c>
      <c r="G39" s="21" t="s">
        <v>85</v>
      </c>
      <c r="H39" s="102" t="s">
        <v>105</v>
      </c>
      <c r="I39" s="102" t="s">
        <v>106</v>
      </c>
      <c r="J39" s="30" t="s">
        <v>116</v>
      </c>
      <c r="K39" s="82" t="s">
        <v>101</v>
      </c>
      <c r="L39" s="82">
        <v>100.0</v>
      </c>
      <c r="M39" s="82">
        <v>630.0</v>
      </c>
    </row>
    <row r="40" ht="12.75" customHeight="1">
      <c r="A40" s="87">
        <f>template!$A$48</f>
        <v>244627</v>
      </c>
      <c r="B40" s="104"/>
      <c r="C40" s="115">
        <v>63.0</v>
      </c>
      <c r="D40" s="115">
        <v>26.0</v>
      </c>
      <c r="E40" s="104"/>
      <c r="F40" s="104">
        <f t="shared" ref="F40:F42" si="4">sum(B40:E40)</f>
        <v>89</v>
      </c>
      <c r="G40" s="105">
        <v>0.0</v>
      </c>
      <c r="H40" s="106">
        <f t="shared" ref="H40:H41" si="5">F40*$L$39</f>
        <v>8900</v>
      </c>
      <c r="I40" s="120">
        <v>8900.0</v>
      </c>
      <c r="J40" s="82">
        <f t="shared" ref="J40:J42" si="6">(((B40+C40)*$M$39)+(D40*$M$40)+(E40*$M$41))*0.99</f>
        <v>56796.3</v>
      </c>
      <c r="K40" s="82" t="s">
        <v>102</v>
      </c>
      <c r="L40" s="82">
        <v>100.0</v>
      </c>
      <c r="M40" s="82">
        <v>680.0</v>
      </c>
    </row>
    <row r="41" ht="12.75" customHeight="1">
      <c r="A41" s="87" t="str">
        <f>template!$A$49</f>
        <v>20/5/2569</v>
      </c>
      <c r="B41" s="104"/>
      <c r="C41" s="115">
        <f>C40+62</f>
        <v>125</v>
      </c>
      <c r="D41" s="115">
        <f>D40+21</f>
        <v>47</v>
      </c>
      <c r="E41" s="104"/>
      <c r="F41" s="104">
        <f t="shared" si="4"/>
        <v>172</v>
      </c>
      <c r="G41" s="105">
        <v>0.0</v>
      </c>
      <c r="H41" s="106">
        <f t="shared" si="5"/>
        <v>17200</v>
      </c>
      <c r="I41" s="121">
        <v>8300.0</v>
      </c>
      <c r="J41" s="82">
        <f t="shared" si="6"/>
        <v>109602.9</v>
      </c>
      <c r="K41" s="82" t="s">
        <v>103</v>
      </c>
      <c r="L41" s="82">
        <v>100.0</v>
      </c>
      <c r="M41" s="82">
        <v>680.0</v>
      </c>
    </row>
    <row r="42" ht="12.75" customHeight="1">
      <c r="A42" s="87" t="str">
        <f>template!$A$50</f>
        <v>30/5/2569</v>
      </c>
      <c r="B42" s="155">
        <v>-1.0</v>
      </c>
      <c r="C42" s="115">
        <v>178.0</v>
      </c>
      <c r="D42" s="115">
        <v>84.0</v>
      </c>
      <c r="E42" s="104"/>
      <c r="F42" s="104">
        <f t="shared" si="4"/>
        <v>261</v>
      </c>
      <c r="G42" s="122">
        <f>IF(F42&lt;150, 0, ((INT(F42/10)*10 - 140) / 10) * 1000)</f>
        <v>12000</v>
      </c>
      <c r="H42" s="106">
        <f>(F42*$L$39)</f>
        <v>26100</v>
      </c>
      <c r="I42" s="121">
        <v>8900.0</v>
      </c>
      <c r="J42" s="82">
        <f t="shared" si="6"/>
        <v>166943.7</v>
      </c>
    </row>
    <row r="43" ht="12.75" customHeight="1">
      <c r="B43" s="109"/>
      <c r="C43" s="110"/>
      <c r="D43" s="110"/>
      <c r="E43" s="110"/>
      <c r="F43" s="110"/>
      <c r="G43" s="111" t="s">
        <v>109</v>
      </c>
      <c r="H43" s="111"/>
      <c r="I43" s="112">
        <f>SUM(I40:I42)</f>
        <v>26100</v>
      </c>
      <c r="J43" s="111"/>
      <c r="L43" s="100" t="s">
        <v>110</v>
      </c>
    </row>
    <row r="44" ht="12.75" customHeight="1">
      <c r="G44" s="113" t="s">
        <v>111</v>
      </c>
      <c r="H44" s="114">
        <f>H42-I43</f>
        <v>0</v>
      </c>
      <c r="I44" s="46"/>
      <c r="L44" s="100">
        <v>150.0</v>
      </c>
      <c r="M44" s="100">
        <v>1000.0</v>
      </c>
    </row>
    <row r="45" ht="12.75" customHeight="1">
      <c r="L45" s="100">
        <v>160.0</v>
      </c>
      <c r="M45" s="100">
        <v>2000.0</v>
      </c>
    </row>
    <row r="46" ht="12.75" customHeight="1">
      <c r="B46" s="100" t="s">
        <v>112</v>
      </c>
      <c r="C46" s="124" t="str">
        <f>C2</f>
        <v>นพดล แคนลา</v>
      </c>
      <c r="L46" s="100">
        <v>170.0</v>
      </c>
      <c r="M46" s="100">
        <v>3000.0</v>
      </c>
    </row>
    <row r="47" ht="12.75" customHeight="1">
      <c r="B47" s="100" t="s">
        <v>113</v>
      </c>
      <c r="L47" s="100">
        <v>180.0</v>
      </c>
      <c r="M47" s="100">
        <v>4000.0</v>
      </c>
    </row>
    <row r="48" ht="12.75" customHeight="1">
      <c r="B48" s="100" t="s">
        <v>4</v>
      </c>
      <c r="C48" s="156">
        <f>IF(F$42&gt;120, E$1, E$1-2000) +E2</f>
        <v>13000</v>
      </c>
      <c r="L48" s="100">
        <v>190.0</v>
      </c>
      <c r="M48" s="100">
        <v>5000.0</v>
      </c>
    </row>
    <row r="49" ht="12.75" customHeight="1">
      <c r="B49" s="100" t="s">
        <v>115</v>
      </c>
      <c r="C49" s="122">
        <f>H42</f>
        <v>26100</v>
      </c>
      <c r="L49" s="100">
        <v>200.0</v>
      </c>
      <c r="M49" s="100">
        <v>6000.0</v>
      </c>
    </row>
    <row r="50" ht="12.75" customHeight="1">
      <c r="B50" s="100" t="s">
        <v>85</v>
      </c>
      <c r="C50" s="122">
        <f>G42</f>
        <v>12000</v>
      </c>
      <c r="L50" s="100">
        <v>210.0</v>
      </c>
      <c r="M50" s="100">
        <v>7000.0</v>
      </c>
    </row>
    <row r="51" ht="12.75" customHeight="1">
      <c r="B51" s="126"/>
      <c r="C51" s="122"/>
      <c r="L51" s="100">
        <v>220.0</v>
      </c>
      <c r="M51" s="100">
        <v>8000.0</v>
      </c>
    </row>
    <row r="52" ht="12.75" customHeight="1">
      <c r="B52" s="127" t="s">
        <v>116</v>
      </c>
      <c r="C52" s="128">
        <f>sum(C48:C51)</f>
        <v>51100</v>
      </c>
      <c r="L52" s="100">
        <v>230.0</v>
      </c>
      <c r="M52" s="100">
        <v>9000.0</v>
      </c>
    </row>
    <row r="53" ht="12.75" customHeight="1">
      <c r="B53" s="127" t="s">
        <v>117</v>
      </c>
      <c r="C53" s="127">
        <f>-MIN(C52*5%, 875)</f>
        <v>-875</v>
      </c>
      <c r="L53" s="100">
        <v>240.0</v>
      </c>
      <c r="M53" s="100">
        <v>10000.0</v>
      </c>
    </row>
    <row r="54" ht="12.75" customHeight="1">
      <c r="B54" s="129" t="s">
        <v>118</v>
      </c>
      <c r="C54" s="127">
        <f t="shared" ref="C54:C55" si="7">-I40</f>
        <v>-8900</v>
      </c>
      <c r="L54" s="100">
        <v>250.0</v>
      </c>
      <c r="M54" s="100">
        <v>11000.0</v>
      </c>
    </row>
    <row r="55" ht="12.75" customHeight="1">
      <c r="B55" s="129" t="s">
        <v>120</v>
      </c>
      <c r="C55" s="127">
        <f t="shared" si="7"/>
        <v>-8300</v>
      </c>
      <c r="L55" s="100"/>
      <c r="M55" s="100"/>
    </row>
    <row r="56" ht="12.75" customHeight="1">
      <c r="B56" s="126" t="s">
        <v>173</v>
      </c>
      <c r="C56" s="100">
        <v>-2000.0</v>
      </c>
      <c r="L56" s="100">
        <v>260.0</v>
      </c>
      <c r="M56" s="100">
        <v>12000.0</v>
      </c>
    </row>
    <row r="57" ht="12.75" customHeight="1">
      <c r="B57" s="100" t="s">
        <v>121</v>
      </c>
      <c r="C57" s="122">
        <f>sum(C52:C56)</f>
        <v>31025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8">
    <mergeCell ref="A5:A6"/>
    <mergeCell ref="B5:B6"/>
    <mergeCell ref="C5:C6"/>
    <mergeCell ref="D5:E5"/>
    <mergeCell ref="F5:H5"/>
    <mergeCell ref="J5:J6"/>
    <mergeCell ref="A38:A39"/>
    <mergeCell ref="C38:F38"/>
  </mergeCells>
  <conditionalFormatting sqref="B35">
    <cfRule type="cellIs" dxfId="0" priority="1" operator="greaterThan">
      <formula>0</formula>
    </cfRule>
  </conditionalFormatting>
  <conditionalFormatting sqref="B35">
    <cfRule type="cellIs" dxfId="1" priority="2" operator="lessThan">
      <formula>0</formula>
    </cfRule>
  </conditionalFormatting>
  <dataValidations>
    <dataValidation type="list" allowBlank="1" showErrorMessage="1" sqref="B35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4.13"/>
    <col customWidth="1" min="4" max="5" width="15.5"/>
    <col customWidth="1" min="6" max="8" width="14.5"/>
    <col customWidth="1" min="9" max="10" width="15.5"/>
    <col customWidth="1" min="11" max="11" width="38.13"/>
    <col customWidth="1" min="12" max="35" width="8.88"/>
  </cols>
  <sheetData>
    <row r="1">
      <c r="A1" s="1" t="s">
        <v>2</v>
      </c>
      <c r="B1" s="1"/>
      <c r="C1" s="1" t="str">
        <f>template!$C$1</f>
        <v>พฤษภาคม2569</v>
      </c>
      <c r="D1" s="1" t="s">
        <v>4</v>
      </c>
      <c r="E1" s="1">
        <v>10000.0</v>
      </c>
      <c r="F1" s="1"/>
      <c r="G1" s="1"/>
      <c r="H1" s="1"/>
      <c r="I1" s="1"/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174</v>
      </c>
      <c r="B2" s="9"/>
      <c r="C2" s="157" t="s">
        <v>175</v>
      </c>
      <c r="D2" s="13" t="s">
        <v>9</v>
      </c>
      <c r="E2" s="13">
        <v>0.0</v>
      </c>
      <c r="F2" s="15"/>
      <c r="G2" s="16" t="s">
        <v>176</v>
      </c>
      <c r="H2" s="158" t="s">
        <v>177</v>
      </c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178</v>
      </c>
      <c r="B3" s="9"/>
      <c r="C3" s="9"/>
      <c r="D3" s="1" t="s">
        <v>179</v>
      </c>
      <c r="E3" s="9"/>
      <c r="F3" s="15"/>
      <c r="G3" s="15"/>
      <c r="H3" s="15"/>
      <c r="I3" s="17" t="str">
        <f>'ทะเบียน ประกัน'!C9</f>
        <v>74-9437</v>
      </c>
      <c r="J3" s="17" t="str">
        <f>'ทะเบียน ประกัน'!I9</f>
        <v>74-7023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244354.0</v>
      </c>
      <c r="B7" s="35" t="s">
        <v>41</v>
      </c>
      <c r="C7" s="159"/>
      <c r="D7" s="59"/>
      <c r="E7" s="59"/>
      <c r="F7" s="160">
        <v>8100.0</v>
      </c>
      <c r="G7" s="59"/>
      <c r="H7" s="36"/>
      <c r="I7" s="36"/>
      <c r="J7" s="41"/>
      <c r="K7" s="161"/>
    </row>
    <row r="8" ht="12.75" customHeight="1">
      <c r="A8" s="34">
        <v>244474.0</v>
      </c>
      <c r="B8" s="35" t="s">
        <v>41</v>
      </c>
      <c r="C8" s="35">
        <v>27.0</v>
      </c>
      <c r="D8" s="36"/>
      <c r="E8" s="36"/>
      <c r="F8" s="40">
        <f>8000-1530</f>
        <v>6470</v>
      </c>
      <c r="G8" s="36"/>
      <c r="H8" s="36"/>
      <c r="I8" s="36"/>
      <c r="J8" s="41">
        <f t="shared" ref="J8:J9" si="1">F8/C8</f>
        <v>239.6296296</v>
      </c>
      <c r="K8" s="161" t="s">
        <v>180</v>
      </c>
      <c r="N8" s="43"/>
    </row>
    <row r="9" ht="12.75" customHeight="1">
      <c r="A9" s="34">
        <v>244627.0</v>
      </c>
      <c r="B9" s="35" t="s">
        <v>41</v>
      </c>
      <c r="C9" s="92">
        <v>27.0</v>
      </c>
      <c r="D9" s="36"/>
      <c r="E9" s="36"/>
      <c r="F9" s="40">
        <f>8000-1300</f>
        <v>6700</v>
      </c>
      <c r="G9" s="36"/>
      <c r="H9" s="36"/>
      <c r="I9" s="36"/>
      <c r="J9" s="41">
        <f t="shared" si="1"/>
        <v>248.1481481</v>
      </c>
      <c r="K9" s="161" t="s">
        <v>180</v>
      </c>
    </row>
    <row r="10" ht="12.75" customHeight="1">
      <c r="A10" s="34">
        <v>244658.0</v>
      </c>
      <c r="B10" s="67" t="s">
        <v>181</v>
      </c>
      <c r="C10" s="70"/>
      <c r="D10" s="68"/>
      <c r="E10" s="68"/>
      <c r="F10" s="162">
        <v>820.0</v>
      </c>
      <c r="G10" s="36"/>
      <c r="H10" s="36"/>
      <c r="I10" s="36"/>
      <c r="J10" s="36"/>
      <c r="K10" s="45"/>
    </row>
    <row r="11" ht="12.75" customHeight="1">
      <c r="A11" s="51" t="s">
        <v>150</v>
      </c>
      <c r="B11" s="35" t="s">
        <v>41</v>
      </c>
      <c r="C11" s="35">
        <v>27.0</v>
      </c>
      <c r="D11" s="36"/>
      <c r="E11" s="36"/>
      <c r="F11" s="40">
        <v>6470.0</v>
      </c>
      <c r="G11" s="36"/>
      <c r="H11" s="36"/>
      <c r="I11" s="36"/>
      <c r="J11" s="41">
        <f>F11/C11</f>
        <v>239.6296296</v>
      </c>
      <c r="K11" s="161" t="s">
        <v>182</v>
      </c>
    </row>
    <row r="12" ht="12.75" customHeight="1">
      <c r="A12" s="51" t="s">
        <v>183</v>
      </c>
      <c r="B12" s="35" t="s">
        <v>41</v>
      </c>
      <c r="C12" s="42"/>
      <c r="D12" s="36"/>
      <c r="E12" s="48"/>
      <c r="F12" s="40">
        <f>8100-1300</f>
        <v>6800</v>
      </c>
      <c r="G12" s="36"/>
      <c r="H12" s="59"/>
      <c r="I12" s="59"/>
      <c r="J12" s="59"/>
      <c r="K12" s="59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2.75" customHeight="1">
      <c r="A13" s="51" t="s">
        <v>183</v>
      </c>
      <c r="B13" s="35" t="s">
        <v>184</v>
      </c>
      <c r="C13" s="58"/>
      <c r="D13" s="59"/>
      <c r="E13" s="59"/>
      <c r="F13" s="163">
        <v>210.0</v>
      </c>
      <c r="G13" s="59"/>
      <c r="H13" s="36"/>
      <c r="I13" s="41"/>
      <c r="J13" s="41"/>
      <c r="K13" s="55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ht="12.75" customHeight="1">
      <c r="A14" s="51" t="s">
        <v>60</v>
      </c>
      <c r="B14" s="35" t="s">
        <v>41</v>
      </c>
      <c r="C14" s="42"/>
      <c r="D14" s="36"/>
      <c r="E14" s="36"/>
      <c r="F14" s="40">
        <v>6900.0</v>
      </c>
      <c r="G14" s="36"/>
      <c r="H14" s="36"/>
      <c r="I14" s="36"/>
      <c r="J14" s="36"/>
      <c r="K14" s="45"/>
    </row>
    <row r="15" ht="12.75" customHeight="1">
      <c r="A15" s="53"/>
      <c r="B15" s="42"/>
      <c r="C15" s="42"/>
      <c r="D15" s="36"/>
      <c r="E15" s="36"/>
      <c r="F15" s="36"/>
      <c r="G15" s="36"/>
      <c r="H15" s="48"/>
      <c r="I15" s="36"/>
      <c r="J15" s="36"/>
      <c r="K15" s="36"/>
      <c r="N15" s="43"/>
    </row>
    <row r="16" ht="12.75" customHeight="1">
      <c r="A16" s="53"/>
      <c r="B16" s="42"/>
      <c r="C16" s="42"/>
      <c r="D16" s="36"/>
      <c r="E16" s="36"/>
      <c r="F16" s="36"/>
      <c r="G16" s="48"/>
      <c r="H16" s="36"/>
      <c r="I16" s="41"/>
      <c r="J16" s="41"/>
      <c r="K16" s="55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2.75" customHeight="1">
      <c r="A17" s="53"/>
      <c r="B17" s="42"/>
      <c r="C17" s="42"/>
      <c r="D17" s="36"/>
      <c r="E17" s="36"/>
      <c r="F17" s="48"/>
      <c r="G17" s="48"/>
      <c r="H17" s="42"/>
      <c r="I17" s="36"/>
      <c r="J17" s="36"/>
      <c r="K17" s="36"/>
    </row>
    <row r="18" ht="12.75" customHeight="1">
      <c r="A18" s="53"/>
      <c r="B18" s="42"/>
      <c r="C18" s="42"/>
      <c r="D18" s="36"/>
      <c r="E18" s="48"/>
      <c r="F18" s="36"/>
      <c r="G18" s="36"/>
      <c r="H18" s="36"/>
      <c r="I18" s="36"/>
      <c r="J18" s="36"/>
      <c r="K18" s="36"/>
    </row>
    <row r="19" ht="12.75" customHeight="1">
      <c r="A19" s="39"/>
      <c r="B19" s="56"/>
      <c r="C19" s="58"/>
      <c r="D19" s="59"/>
      <c r="E19" s="59"/>
      <c r="F19" s="60"/>
      <c r="G19" s="59"/>
      <c r="H19" s="36"/>
      <c r="I19" s="36"/>
      <c r="J19" s="36"/>
      <c r="K19" s="36"/>
    </row>
    <row r="20" ht="12.75" customHeight="1">
      <c r="A20" s="53"/>
      <c r="B20" s="71"/>
      <c r="C20" s="70"/>
      <c r="D20" s="68"/>
      <c r="E20" s="68"/>
      <c r="F20" s="68"/>
      <c r="G20" s="72"/>
      <c r="H20" s="36"/>
      <c r="I20" s="36"/>
      <c r="J20" s="36"/>
      <c r="K20" s="36"/>
    </row>
    <row r="21" ht="12.75" customHeight="1">
      <c r="A21" s="75"/>
      <c r="B21" s="74"/>
      <c r="C21" s="42"/>
      <c r="D21" s="36"/>
      <c r="E21" s="36"/>
      <c r="F21" s="36"/>
      <c r="G21" s="48"/>
      <c r="H21" s="36"/>
      <c r="I21" s="63"/>
      <c r="J21" s="63"/>
      <c r="K21" s="63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</row>
    <row r="22" ht="12.75" customHeight="1">
      <c r="A22" s="75"/>
      <c r="B22" s="71"/>
      <c r="C22" s="42"/>
      <c r="D22" s="36"/>
      <c r="E22" s="36"/>
      <c r="F22" s="36"/>
      <c r="G22" s="48"/>
      <c r="H22" s="36"/>
      <c r="I22" s="63"/>
      <c r="J22" s="63"/>
      <c r="K22" s="63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</row>
    <row r="23" ht="12.75" customHeight="1">
      <c r="A23" s="53"/>
      <c r="B23" s="56"/>
      <c r="C23" s="58"/>
      <c r="D23" s="59"/>
      <c r="E23" s="59"/>
      <c r="F23" s="59"/>
      <c r="G23" s="59"/>
      <c r="H23" s="60"/>
      <c r="I23" s="36"/>
      <c r="J23" s="36"/>
      <c r="K23" s="36"/>
    </row>
    <row r="24" ht="12.75" customHeight="1">
      <c r="A24" s="53"/>
      <c r="B24" s="62"/>
      <c r="C24" s="64"/>
      <c r="D24" s="63"/>
      <c r="E24" s="63"/>
      <c r="F24" s="63"/>
      <c r="G24" s="65"/>
      <c r="H24" s="41"/>
      <c r="I24" s="36"/>
      <c r="J24" s="36"/>
      <c r="K24" s="36"/>
    </row>
    <row r="25" ht="12.75" customHeight="1">
      <c r="A25" s="53"/>
      <c r="B25" s="62"/>
      <c r="C25" s="64"/>
      <c r="D25" s="63"/>
      <c r="E25" s="63"/>
      <c r="F25" s="63"/>
      <c r="G25" s="65"/>
      <c r="H25" s="41"/>
      <c r="I25" s="36"/>
      <c r="J25" s="36"/>
      <c r="K25" s="36"/>
    </row>
    <row r="26" ht="12.75" customHeight="1">
      <c r="A26" s="51" t="s">
        <v>191</v>
      </c>
      <c r="B26" s="76" t="s">
        <v>192</v>
      </c>
      <c r="C26" s="42"/>
      <c r="D26" s="36"/>
      <c r="E26" s="36"/>
      <c r="F26" s="57">
        <v>20271.0</v>
      </c>
      <c r="G26" s="38"/>
      <c r="H26" s="36"/>
      <c r="I26" s="36"/>
      <c r="J26" s="36"/>
      <c r="K26" s="36"/>
    </row>
    <row r="27" ht="40.5" customHeight="1">
      <c r="A27" s="87">
        <f>template!$A$48</f>
        <v>244627</v>
      </c>
      <c r="B27" s="42" t="s">
        <v>77</v>
      </c>
      <c r="C27" s="42"/>
      <c r="D27" s="36"/>
      <c r="E27" s="36"/>
      <c r="F27" s="48"/>
      <c r="G27" s="38">
        <f t="shared" ref="G27:G29" si="2">I43</f>
        <v>4600</v>
      </c>
      <c r="H27" s="36"/>
      <c r="I27" s="36"/>
      <c r="J27" s="36"/>
      <c r="K27" s="164" t="s">
        <v>193</v>
      </c>
    </row>
    <row r="28" ht="12.75" customHeight="1">
      <c r="A28" s="87" t="str">
        <f>template!$A$49</f>
        <v>20/5/2569</v>
      </c>
      <c r="B28" s="42" t="s">
        <v>77</v>
      </c>
      <c r="C28" s="42"/>
      <c r="D28" s="36"/>
      <c r="E28" s="36"/>
      <c r="F28" s="48"/>
      <c r="G28" s="38">
        <f t="shared" si="2"/>
        <v>4500</v>
      </c>
      <c r="H28" s="36"/>
      <c r="I28" s="36"/>
      <c r="J28" s="36"/>
      <c r="K28" s="36"/>
    </row>
    <row r="29" ht="12.75" customHeight="1">
      <c r="A29" s="87" t="str">
        <f>template!$A$50</f>
        <v>30/5/2569</v>
      </c>
      <c r="B29" s="42" t="s">
        <v>77</v>
      </c>
      <c r="C29" s="42"/>
      <c r="D29" s="36"/>
      <c r="E29" s="36"/>
      <c r="F29" s="48"/>
      <c r="G29" s="36">
        <f t="shared" si="2"/>
        <v>5100</v>
      </c>
      <c r="H29" s="36"/>
      <c r="I29" s="36"/>
      <c r="J29" s="36"/>
      <c r="K29" s="36"/>
    </row>
    <row r="30" ht="12.75" customHeight="1">
      <c r="A30" s="87" t="str">
        <f>template!$A$50</f>
        <v>30/5/2569</v>
      </c>
      <c r="B30" s="35" t="s">
        <v>195</v>
      </c>
      <c r="C30" s="42"/>
      <c r="D30" s="38">
        <v>4000.0</v>
      </c>
      <c r="E30" s="36"/>
      <c r="F30" s="48"/>
      <c r="G30" s="36"/>
      <c r="H30" s="36"/>
      <c r="I30" s="36"/>
      <c r="J30" s="36"/>
      <c r="K30" s="36"/>
    </row>
    <row r="31" ht="12.75" customHeight="1">
      <c r="A31" s="87" t="str">
        <f>template!$A$50</f>
        <v>30/5/2569</v>
      </c>
      <c r="B31" s="56" t="s">
        <v>83</v>
      </c>
      <c r="C31" s="58"/>
      <c r="D31" s="59"/>
      <c r="E31" s="59"/>
      <c r="F31" s="59"/>
      <c r="G31" s="59"/>
      <c r="H31" s="60">
        <f>E1</f>
        <v>10000</v>
      </c>
      <c r="I31" s="36"/>
      <c r="J31" s="36"/>
      <c r="K31" s="36"/>
    </row>
    <row r="32" ht="12.75" customHeight="1">
      <c r="A32" s="87" t="str">
        <f>template!$A$50</f>
        <v>30/5/2569</v>
      </c>
      <c r="B32" s="62" t="s">
        <v>198</v>
      </c>
      <c r="C32" s="64"/>
      <c r="D32" s="63"/>
      <c r="E32" s="63"/>
      <c r="F32" s="63"/>
      <c r="G32" s="65"/>
      <c r="H32" s="68"/>
      <c r="I32" s="36"/>
      <c r="J32" s="36"/>
      <c r="K32" s="36"/>
    </row>
    <row r="33" ht="12.75" customHeight="1">
      <c r="A33" s="87" t="str">
        <f>template!$A$50</f>
        <v>30/5/2569</v>
      </c>
      <c r="B33" s="62" t="s">
        <v>85</v>
      </c>
      <c r="C33" s="64"/>
      <c r="D33" s="63"/>
      <c r="E33" s="63"/>
      <c r="F33" s="63"/>
      <c r="G33" s="65">
        <f>G45</f>
        <v>0</v>
      </c>
      <c r="H33" s="68"/>
      <c r="I33" s="36"/>
      <c r="J33" s="36"/>
      <c r="K33" s="36"/>
    </row>
    <row r="34" ht="12.75" customHeight="1">
      <c r="A34" s="87" t="str">
        <f>template!$A$50</f>
        <v>30/5/2569</v>
      </c>
      <c r="B34" s="71" t="s">
        <v>96</v>
      </c>
      <c r="C34" s="82"/>
      <c r="D34" s="41"/>
      <c r="E34" s="41"/>
      <c r="F34" s="41"/>
      <c r="G34" s="41"/>
      <c r="H34" s="84">
        <f>C55</f>
        <v>-726</v>
      </c>
      <c r="I34" s="36"/>
      <c r="J34" s="36"/>
      <c r="K34" s="36"/>
    </row>
    <row r="35" ht="12.75" customHeight="1">
      <c r="A35" s="93"/>
      <c r="B35" s="93"/>
      <c r="C35" s="95"/>
      <c r="D35" s="30">
        <f t="shared" ref="D35:H35" si="3">SUM(D7:D34)</f>
        <v>4000</v>
      </c>
      <c r="E35" s="30">
        <f t="shared" si="3"/>
        <v>0</v>
      </c>
      <c r="F35" s="30">
        <f t="shared" si="3"/>
        <v>62741</v>
      </c>
      <c r="G35" s="30">
        <f t="shared" si="3"/>
        <v>14200</v>
      </c>
      <c r="H35" s="30">
        <f t="shared" si="3"/>
        <v>9274</v>
      </c>
      <c r="I35" s="30"/>
      <c r="J35" s="30">
        <f>SUM(J8:J34)</f>
        <v>727.4074074</v>
      </c>
      <c r="K35" s="98"/>
    </row>
    <row r="36" ht="12.75" customHeight="1">
      <c r="A36" s="46" t="s">
        <v>98</v>
      </c>
      <c r="B36" s="99">
        <f>H31+G32+G33+H34+H30</f>
        <v>9274</v>
      </c>
      <c r="C36" s="100" t="s">
        <v>88</v>
      </c>
      <c r="D36" s="101">
        <f>SUMIF(B8:B34, "*"&amp;"น้ำมัน"&amp;"*", F8:F34)</f>
        <v>33340</v>
      </c>
    </row>
    <row r="37" ht="12.75" customHeight="1">
      <c r="A37" s="46" t="s">
        <v>90</v>
      </c>
      <c r="B37" s="99">
        <f>sum(F35:H35)</f>
        <v>86215</v>
      </c>
      <c r="C37" s="100" t="s">
        <v>92</v>
      </c>
      <c r="D37" s="101">
        <f>F35-D36</f>
        <v>29401</v>
      </c>
    </row>
    <row r="38" ht="12.75" customHeight="1">
      <c r="A38" s="100" t="s">
        <v>93</v>
      </c>
      <c r="B38" s="101">
        <f>J45-B37</f>
        <v>4033.4</v>
      </c>
    </row>
    <row r="39" ht="12.75" customHeight="1"/>
    <row r="40" ht="12.75" customHeight="1"/>
    <row r="41" ht="12.75" customHeight="1">
      <c r="A41" s="19" t="s">
        <v>23</v>
      </c>
      <c r="B41" s="30"/>
      <c r="C41" s="21" t="s">
        <v>95</v>
      </c>
      <c r="D41" s="23"/>
      <c r="E41" s="23"/>
      <c r="F41" s="22"/>
      <c r="G41" s="82"/>
      <c r="H41" s="82"/>
      <c r="I41" s="70"/>
      <c r="J41" s="82"/>
      <c r="K41" s="82" t="s">
        <v>97</v>
      </c>
      <c r="L41" s="82" t="s">
        <v>99</v>
      </c>
      <c r="M41" s="82" t="s">
        <v>26</v>
      </c>
    </row>
    <row r="42" ht="12.75" customHeight="1">
      <c r="A42" s="29"/>
      <c r="B42" s="30" t="s">
        <v>100</v>
      </c>
      <c r="C42" s="30" t="s">
        <v>101</v>
      </c>
      <c r="D42" s="30" t="s">
        <v>102</v>
      </c>
      <c r="E42" s="30" t="s">
        <v>103</v>
      </c>
      <c r="F42" s="30" t="s">
        <v>104</v>
      </c>
      <c r="G42" s="21" t="s">
        <v>85</v>
      </c>
      <c r="H42" s="102" t="s">
        <v>105</v>
      </c>
      <c r="I42" s="102" t="s">
        <v>106</v>
      </c>
      <c r="J42" s="30" t="s">
        <v>116</v>
      </c>
      <c r="K42" s="82" t="s">
        <v>101</v>
      </c>
      <c r="L42" s="82">
        <v>100.0</v>
      </c>
      <c r="M42" s="82">
        <v>630.0</v>
      </c>
    </row>
    <row r="43" ht="12.75" customHeight="1">
      <c r="A43" s="87">
        <f>template!$A$48</f>
        <v>244627</v>
      </c>
      <c r="B43" s="115">
        <v>1.0</v>
      </c>
      <c r="C43" s="115">
        <v>34.0</v>
      </c>
      <c r="D43" s="115">
        <v>11.0</v>
      </c>
      <c r="E43" s="104"/>
      <c r="F43" s="104">
        <f t="shared" ref="F43:F45" si="4">sum(B43:E43)</f>
        <v>46</v>
      </c>
      <c r="G43" s="105">
        <v>0.0</v>
      </c>
      <c r="H43" s="106">
        <f t="shared" ref="H43:H44" si="5">F43*$L$42</f>
        <v>4600</v>
      </c>
      <c r="I43" s="120">
        <v>4600.0</v>
      </c>
      <c r="J43" s="82">
        <f t="shared" ref="J43:J45" si="6">(((B43+C43)*$M$42)+(D43*$M$43)+(E43*$M$44))*0.99</f>
        <v>29234.7</v>
      </c>
      <c r="K43" s="82" t="s">
        <v>102</v>
      </c>
      <c r="L43" s="82">
        <v>100.0</v>
      </c>
      <c r="M43" s="82">
        <v>680.0</v>
      </c>
    </row>
    <row r="44" ht="12.75" customHeight="1">
      <c r="A44" s="87" t="str">
        <f>template!$A$49</f>
        <v>20/5/2569</v>
      </c>
      <c r="B44" s="115">
        <v>1.0</v>
      </c>
      <c r="C44" s="115">
        <v>70.0</v>
      </c>
      <c r="D44" s="115">
        <v>21.0</v>
      </c>
      <c r="E44" s="104"/>
      <c r="F44" s="104">
        <f t="shared" si="4"/>
        <v>92</v>
      </c>
      <c r="G44" s="105">
        <v>0.0</v>
      </c>
      <c r="H44" s="106">
        <f t="shared" si="5"/>
        <v>9200</v>
      </c>
      <c r="I44" s="121">
        <v>4500.0</v>
      </c>
      <c r="J44" s="82">
        <f t="shared" si="6"/>
        <v>58419.9</v>
      </c>
      <c r="K44" s="82" t="s">
        <v>103</v>
      </c>
      <c r="L44" s="82">
        <v>100.0</v>
      </c>
      <c r="M44" s="82">
        <v>680.0</v>
      </c>
    </row>
    <row r="45" ht="12.75" customHeight="1">
      <c r="A45" s="87" t="str">
        <f>template!$A$50</f>
        <v>30/5/2569</v>
      </c>
      <c r="B45" s="115">
        <v>4.0</v>
      </c>
      <c r="C45" s="115">
        <v>104.0</v>
      </c>
      <c r="D45" s="115">
        <v>34.0</v>
      </c>
      <c r="E45" s="104"/>
      <c r="F45" s="104">
        <f t="shared" si="4"/>
        <v>142</v>
      </c>
      <c r="G45" s="122">
        <f>IF(F45&lt;150, 0, ((INT(F45/10)*10 - 140) / 10) * 1000)</f>
        <v>0</v>
      </c>
      <c r="H45" s="106">
        <f>(F45*$L$43)</f>
        <v>14200</v>
      </c>
      <c r="I45" s="121">
        <v>5100.0</v>
      </c>
      <c r="J45" s="82">
        <f t="shared" si="6"/>
        <v>90248.4</v>
      </c>
    </row>
    <row r="46" ht="12.75" customHeight="1">
      <c r="B46" s="109"/>
      <c r="C46" s="110"/>
      <c r="D46" s="110"/>
      <c r="E46" s="110"/>
      <c r="F46" s="110"/>
      <c r="G46" s="111" t="s">
        <v>109</v>
      </c>
      <c r="H46" s="111"/>
      <c r="I46" s="112">
        <f>SUM(I43:I45)</f>
        <v>14200</v>
      </c>
      <c r="J46" s="111"/>
      <c r="L46" s="100" t="s">
        <v>110</v>
      </c>
    </row>
    <row r="47" ht="12.75" customHeight="1">
      <c r="G47" s="113" t="s">
        <v>111</v>
      </c>
      <c r="H47" s="114">
        <f>H45-I46</f>
        <v>0</v>
      </c>
      <c r="I47" s="46"/>
      <c r="L47" s="100">
        <v>150.0</v>
      </c>
      <c r="M47" s="100">
        <v>1000.0</v>
      </c>
    </row>
    <row r="48" ht="12.75" customHeight="1">
      <c r="B48" s="100" t="s">
        <v>112</v>
      </c>
      <c r="C48" s="124" t="str">
        <f>C2</f>
        <v>วินัย เหวขุนทด</v>
      </c>
      <c r="L48" s="100">
        <v>160.0</v>
      </c>
      <c r="M48" s="100">
        <v>2000.0</v>
      </c>
    </row>
    <row r="49" ht="12.75" customHeight="1">
      <c r="B49" s="100" t="s">
        <v>113</v>
      </c>
      <c r="L49" s="100">
        <v>170.0</v>
      </c>
      <c r="M49" s="100">
        <v>3000.0</v>
      </c>
    </row>
    <row r="50" ht="12.75" customHeight="1">
      <c r="B50" s="100" t="s">
        <v>4</v>
      </c>
      <c r="C50" s="125">
        <f>IF(F$45&gt;120, E$1, E$1-2000) +E2</f>
        <v>10000</v>
      </c>
      <c r="L50" s="100">
        <v>180.0</v>
      </c>
      <c r="M50" s="100">
        <v>4000.0</v>
      </c>
    </row>
    <row r="51" ht="12.75" customHeight="1">
      <c r="B51" s="100" t="s">
        <v>115</v>
      </c>
      <c r="C51" s="122">
        <f>H45</f>
        <v>14200</v>
      </c>
      <c r="L51" s="100">
        <v>190.0</v>
      </c>
      <c r="M51" s="100">
        <v>5000.0</v>
      </c>
    </row>
    <row r="52" ht="12.75" customHeight="1">
      <c r="B52" s="100" t="s">
        <v>85</v>
      </c>
      <c r="C52" s="122">
        <f>G45</f>
        <v>0</v>
      </c>
      <c r="L52" s="100">
        <v>200.0</v>
      </c>
      <c r="M52" s="100">
        <v>6000.0</v>
      </c>
    </row>
    <row r="53" ht="12.75" customHeight="1">
      <c r="B53" s="127"/>
      <c r="C53" s="127"/>
      <c r="L53" s="100">
        <v>210.0</v>
      </c>
      <c r="M53" s="100">
        <v>7000.0</v>
      </c>
    </row>
    <row r="54" ht="12.75" customHeight="1">
      <c r="B54" s="127" t="s">
        <v>116</v>
      </c>
      <c r="C54" s="128">
        <f>sum(C50:C52)</f>
        <v>24200</v>
      </c>
      <c r="L54" s="100">
        <v>220.0</v>
      </c>
      <c r="M54" s="100">
        <v>8000.0</v>
      </c>
    </row>
    <row r="55" ht="12.75" customHeight="1">
      <c r="B55" s="127" t="s">
        <v>123</v>
      </c>
      <c r="C55" s="127">
        <f>-C54*3%</f>
        <v>-726</v>
      </c>
      <c r="L55" s="100">
        <v>230.0</v>
      </c>
      <c r="M55" s="100">
        <v>9000.0</v>
      </c>
    </row>
    <row r="56" ht="12.75" customHeight="1">
      <c r="B56" s="129" t="s">
        <v>118</v>
      </c>
      <c r="C56" s="127">
        <f t="shared" ref="C56:C57" si="7">-I43</f>
        <v>-4600</v>
      </c>
    </row>
    <row r="57" ht="12.75" customHeight="1">
      <c r="B57" s="129" t="s">
        <v>120</v>
      </c>
      <c r="C57" s="127">
        <f t="shared" si="7"/>
        <v>-4500</v>
      </c>
    </row>
    <row r="58" ht="32.25" customHeight="1">
      <c r="B58" s="167" t="s">
        <v>195</v>
      </c>
      <c r="C58" s="126">
        <v>-4000.0</v>
      </c>
    </row>
    <row r="59" ht="12.75" customHeight="1">
      <c r="B59" s="100" t="s">
        <v>121</v>
      </c>
      <c r="C59" s="122">
        <f>sum(C54:C58)</f>
        <v>10374</v>
      </c>
    </row>
    <row r="60" ht="12.75" customHeight="1">
      <c r="B60" s="100"/>
      <c r="C60" s="100"/>
    </row>
    <row r="61" ht="12.75" customHeight="1">
      <c r="B61" s="100"/>
      <c r="C61" s="122"/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mergeCells count="8">
    <mergeCell ref="A5:A6"/>
    <mergeCell ref="B5:B6"/>
    <mergeCell ref="C5:C6"/>
    <mergeCell ref="D5:E5"/>
    <mergeCell ref="F5:H5"/>
    <mergeCell ref="J5:J6"/>
    <mergeCell ref="A41:A42"/>
    <mergeCell ref="C41:F41"/>
  </mergeCells>
  <conditionalFormatting sqref="B38">
    <cfRule type="cellIs" dxfId="0" priority="1" operator="greaterThan">
      <formula>0</formula>
    </cfRule>
  </conditionalFormatting>
  <conditionalFormatting sqref="B38">
    <cfRule type="cellIs" dxfId="1" priority="2" operator="lessThan">
      <formula>0</formula>
    </cfRule>
  </conditionalFormatting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4.13"/>
    <col customWidth="1" min="4" max="5" width="15.5"/>
    <col customWidth="1" min="6" max="8" width="14.5"/>
    <col customWidth="1" min="9" max="10" width="15.5"/>
    <col customWidth="1" min="11" max="11" width="38.13"/>
    <col customWidth="1" min="12" max="35" width="8.88"/>
  </cols>
  <sheetData>
    <row r="1">
      <c r="A1" s="1" t="s">
        <v>2</v>
      </c>
      <c r="B1" s="1"/>
      <c r="C1" s="1" t="str">
        <f>template!$C$1</f>
        <v>พฤษภาคม2569</v>
      </c>
      <c r="D1" s="1" t="s">
        <v>4</v>
      </c>
      <c r="E1" s="4">
        <v>0.0</v>
      </c>
      <c r="F1" s="1"/>
      <c r="G1" s="1" t="s">
        <v>185</v>
      </c>
      <c r="H1" s="14" t="s">
        <v>186</v>
      </c>
      <c r="I1" s="1"/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187</v>
      </c>
      <c r="B2" s="9"/>
      <c r="C2" s="9" t="s">
        <v>188</v>
      </c>
      <c r="D2" s="13" t="s">
        <v>9</v>
      </c>
      <c r="E2" s="13">
        <v>0.0</v>
      </c>
      <c r="F2" s="15"/>
      <c r="G2" s="15"/>
      <c r="H2" s="15"/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189</v>
      </c>
      <c r="B3" s="9"/>
      <c r="C3" s="9">
        <v>3.640500264014E12</v>
      </c>
      <c r="D3" s="1" t="s">
        <v>190</v>
      </c>
      <c r="E3" s="9"/>
      <c r="F3" s="15"/>
      <c r="G3" s="15"/>
      <c r="H3" s="15"/>
      <c r="I3" s="17" t="str">
        <f>'ทะเบียน ประกัน'!C10</f>
        <v>75-0287 สป</v>
      </c>
      <c r="J3" s="17" t="str">
        <f>'ทะเบียน ประกัน'!I10</f>
        <v>75-0288 สป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244354.0</v>
      </c>
      <c r="B7" s="35" t="s">
        <v>194</v>
      </c>
      <c r="C7" s="159"/>
      <c r="D7" s="59"/>
      <c r="E7" s="59"/>
      <c r="F7" s="163">
        <v>7800.0</v>
      </c>
      <c r="G7" s="59"/>
      <c r="H7" s="36"/>
      <c r="I7" s="36"/>
      <c r="J7" s="36" t="str">
        <f>F7/C7</f>
        <v>#DIV/0!</v>
      </c>
      <c r="K7" s="45"/>
    </row>
    <row r="8" ht="12.75" customHeight="1">
      <c r="A8" s="34">
        <v>244627.0</v>
      </c>
      <c r="B8" s="35" t="s">
        <v>196</v>
      </c>
      <c r="C8" s="42"/>
      <c r="D8" s="36"/>
      <c r="E8" s="36"/>
      <c r="F8" s="38">
        <v>200.0</v>
      </c>
      <c r="G8" s="36"/>
      <c r="H8" s="36"/>
      <c r="I8" s="36"/>
      <c r="J8" s="36"/>
      <c r="K8" s="45"/>
      <c r="N8" s="43"/>
    </row>
    <row r="9" ht="12.75" customHeight="1">
      <c r="A9" s="51" t="s">
        <v>197</v>
      </c>
      <c r="B9" s="35" t="s">
        <v>49</v>
      </c>
      <c r="C9" s="35"/>
      <c r="D9" s="36"/>
      <c r="E9" s="36"/>
      <c r="F9" s="38">
        <v>450.0</v>
      </c>
      <c r="G9" s="36"/>
      <c r="H9" s="36"/>
      <c r="I9" s="36"/>
      <c r="J9" s="36"/>
      <c r="K9" s="45"/>
    </row>
    <row r="10" ht="12.75" customHeight="1">
      <c r="A10" s="51" t="s">
        <v>183</v>
      </c>
      <c r="B10" s="35" t="s">
        <v>41</v>
      </c>
      <c r="C10" s="42"/>
      <c r="D10" s="36"/>
      <c r="E10" s="36"/>
      <c r="F10" s="40">
        <v>12000.0</v>
      </c>
      <c r="G10" s="36"/>
      <c r="H10" s="36"/>
      <c r="I10" s="36"/>
      <c r="J10" s="36"/>
      <c r="K10" s="45"/>
    </row>
    <row r="11" ht="12.75" customHeight="1">
      <c r="A11" s="51" t="s">
        <v>60</v>
      </c>
      <c r="B11" s="35" t="s">
        <v>41</v>
      </c>
      <c r="C11" s="35">
        <v>47.0</v>
      </c>
      <c r="D11" s="36"/>
      <c r="E11" s="48"/>
      <c r="F11" s="40">
        <f>12000-990</f>
        <v>11010</v>
      </c>
      <c r="G11" s="36"/>
      <c r="H11" s="36"/>
      <c r="I11" s="36"/>
      <c r="J11" s="36">
        <f>F11/C11</f>
        <v>234.2553191</v>
      </c>
      <c r="K11" s="45"/>
    </row>
    <row r="12" ht="12.75" customHeight="1">
      <c r="A12" s="51"/>
      <c r="B12" s="35"/>
      <c r="C12" s="58"/>
      <c r="D12" s="59"/>
      <c r="E12" s="59"/>
      <c r="F12" s="163"/>
      <c r="G12" s="59"/>
      <c r="H12" s="59"/>
      <c r="I12" s="59"/>
      <c r="J12" s="36"/>
      <c r="K12" s="3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2.75" customHeight="1">
      <c r="A13" s="51"/>
      <c r="B13" s="35"/>
      <c r="C13" s="66"/>
      <c r="D13" s="41"/>
      <c r="E13" s="41"/>
      <c r="F13" s="165"/>
      <c r="G13" s="84"/>
      <c r="H13" s="41"/>
      <c r="I13" s="41"/>
      <c r="J13" s="41"/>
      <c r="K13" s="55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ht="12.75" customHeight="1">
      <c r="A14" s="51"/>
      <c r="B14" s="67"/>
      <c r="C14" s="70"/>
      <c r="D14" s="68"/>
      <c r="E14" s="68"/>
      <c r="F14" s="73"/>
      <c r="G14" s="72"/>
      <c r="H14" s="36"/>
      <c r="I14" s="36"/>
      <c r="J14" s="36"/>
      <c r="K14" s="45"/>
    </row>
    <row r="15" ht="12.75" customHeight="1">
      <c r="A15" s="51"/>
      <c r="B15" s="35"/>
      <c r="C15" s="42"/>
      <c r="D15" s="36"/>
      <c r="E15" s="36"/>
      <c r="F15" s="38"/>
      <c r="G15" s="36"/>
      <c r="H15" s="36"/>
      <c r="I15" s="36"/>
      <c r="J15" s="36"/>
      <c r="K15" s="36"/>
      <c r="N15" s="43"/>
    </row>
    <row r="16" ht="12.75" customHeight="1">
      <c r="A16" s="146"/>
      <c r="B16" s="35"/>
      <c r="C16" s="66"/>
      <c r="D16" s="41"/>
      <c r="E16" s="41"/>
      <c r="F16" s="165"/>
      <c r="G16" s="84"/>
      <c r="H16" s="41"/>
      <c r="I16" s="41"/>
      <c r="J16" s="41"/>
      <c r="K16" s="38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2.75" customHeight="1">
      <c r="A17" s="86"/>
      <c r="B17" s="56"/>
      <c r="C17" s="58"/>
      <c r="D17" s="59"/>
      <c r="E17" s="59"/>
      <c r="F17" s="59"/>
      <c r="G17" s="59"/>
      <c r="H17" s="60"/>
      <c r="I17" s="36"/>
      <c r="J17" s="36"/>
      <c r="K17" s="36"/>
    </row>
    <row r="18" ht="12.75" customHeight="1">
      <c r="A18" s="86"/>
      <c r="B18" s="62"/>
      <c r="C18" s="64"/>
      <c r="D18" s="63"/>
      <c r="E18" s="63"/>
      <c r="F18" s="63"/>
      <c r="G18" s="65"/>
      <c r="H18" s="36"/>
      <c r="I18" s="36"/>
      <c r="J18" s="36"/>
      <c r="K18" s="36"/>
    </row>
    <row r="19" ht="12.75" customHeight="1">
      <c r="A19" s="86"/>
      <c r="B19" s="62"/>
      <c r="C19" s="64"/>
      <c r="D19" s="63"/>
      <c r="E19" s="63"/>
      <c r="F19" s="63"/>
      <c r="G19" s="65"/>
      <c r="H19" s="36"/>
      <c r="I19" s="36"/>
      <c r="J19" s="36"/>
      <c r="K19" s="36"/>
    </row>
    <row r="20" ht="12.75" customHeight="1">
      <c r="A20" s="53"/>
      <c r="B20" s="56"/>
      <c r="C20" s="58"/>
      <c r="D20" s="59"/>
      <c r="E20" s="59"/>
      <c r="F20" s="60"/>
      <c r="G20" s="36"/>
      <c r="H20" s="36"/>
      <c r="I20" s="36"/>
      <c r="J20" s="36"/>
      <c r="K20" s="36"/>
    </row>
    <row r="21" ht="12.75" customHeight="1">
      <c r="A21" s="53"/>
      <c r="B21" s="42"/>
      <c r="C21" s="42"/>
      <c r="D21" s="36"/>
      <c r="E21" s="36"/>
      <c r="F21" s="36"/>
      <c r="G21" s="63"/>
      <c r="H21" s="63"/>
      <c r="I21" s="63"/>
      <c r="J21" s="63"/>
      <c r="K21" s="63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</row>
    <row r="22" ht="12.75" customHeight="1">
      <c r="A22" s="53"/>
      <c r="B22" s="62"/>
      <c r="C22" s="64"/>
      <c r="D22" s="63"/>
      <c r="E22" s="63"/>
      <c r="F22" s="63"/>
      <c r="G22" s="63"/>
      <c r="H22" s="63"/>
      <c r="I22" s="63"/>
      <c r="J22" s="63"/>
      <c r="K22" s="63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</row>
    <row r="23" ht="12.75" customHeight="1">
      <c r="A23" s="143"/>
      <c r="B23" s="74"/>
      <c r="C23" s="42"/>
      <c r="D23" s="36"/>
      <c r="E23" s="36"/>
      <c r="F23" s="48"/>
      <c r="G23" s="36"/>
      <c r="H23" s="36"/>
      <c r="I23" s="36"/>
      <c r="J23" s="36"/>
      <c r="K23" s="36"/>
    </row>
    <row r="24" ht="12.75" customHeight="1">
      <c r="A24" s="51" t="s">
        <v>199</v>
      </c>
      <c r="B24" s="35" t="s">
        <v>200</v>
      </c>
      <c r="C24" s="58"/>
      <c r="D24" s="59"/>
      <c r="E24" s="59"/>
      <c r="F24" s="60">
        <f>150*9</f>
        <v>1350</v>
      </c>
      <c r="G24" s="36"/>
      <c r="H24" s="36"/>
      <c r="I24" s="36"/>
      <c r="J24" s="36"/>
      <c r="K24" s="36"/>
    </row>
    <row r="25" ht="12.75" customHeight="1">
      <c r="A25" s="51" t="s">
        <v>199</v>
      </c>
      <c r="B25" s="35" t="s">
        <v>201</v>
      </c>
      <c r="C25" s="42"/>
      <c r="D25" s="36"/>
      <c r="E25" s="36"/>
      <c r="F25" s="36">
        <f>150*65</f>
        <v>9750</v>
      </c>
      <c r="G25" s="36"/>
      <c r="H25" s="36"/>
      <c r="I25" s="36"/>
      <c r="J25" s="36"/>
      <c r="K25" s="36"/>
    </row>
    <row r="26" ht="12.75" customHeight="1">
      <c r="A26" s="51" t="s">
        <v>191</v>
      </c>
      <c r="B26" s="76" t="s">
        <v>202</v>
      </c>
      <c r="C26" s="58"/>
      <c r="D26" s="59"/>
      <c r="E26" s="59"/>
      <c r="F26" s="60">
        <v>20271.0</v>
      </c>
      <c r="G26" s="36"/>
      <c r="H26" s="36"/>
      <c r="I26" s="36"/>
      <c r="J26" s="36"/>
      <c r="K26" s="36"/>
    </row>
    <row r="27" ht="12.75" customHeight="1">
      <c r="A27" s="51" t="s">
        <v>191</v>
      </c>
      <c r="B27" s="35" t="s">
        <v>203</v>
      </c>
      <c r="C27" s="42"/>
      <c r="D27" s="36"/>
      <c r="E27" s="36"/>
      <c r="F27" s="36">
        <v>3686.0</v>
      </c>
      <c r="G27" s="36"/>
      <c r="H27" s="36"/>
      <c r="I27" s="36"/>
      <c r="J27" s="36"/>
      <c r="K27" s="36"/>
    </row>
    <row r="28" ht="12.75" customHeight="1">
      <c r="A28" s="87">
        <f>template!$A$48</f>
        <v>244627</v>
      </c>
      <c r="B28" s="42" t="s">
        <v>77</v>
      </c>
      <c r="C28" s="42"/>
      <c r="D28" s="36"/>
      <c r="E28" s="36"/>
      <c r="F28" s="48"/>
      <c r="G28" s="36" t="str">
        <f t="shared" ref="G28:G30" si="1">I43</f>
        <v/>
      </c>
      <c r="H28" s="36"/>
      <c r="I28" s="36"/>
      <c r="J28" s="36"/>
      <c r="K28" s="36"/>
    </row>
    <row r="29" ht="12.75" customHeight="1">
      <c r="A29" s="87" t="str">
        <f>template!$A$49</f>
        <v>20/5/2569</v>
      </c>
      <c r="B29" s="42" t="s">
        <v>77</v>
      </c>
      <c r="C29" s="42"/>
      <c r="D29" s="36"/>
      <c r="E29" s="36"/>
      <c r="F29" s="48"/>
      <c r="G29" s="36" t="str">
        <f t="shared" si="1"/>
        <v/>
      </c>
      <c r="H29" s="36"/>
      <c r="I29" s="36"/>
      <c r="J29" s="36"/>
      <c r="K29" s="36"/>
    </row>
    <row r="30" ht="12.75" customHeight="1">
      <c r="A30" s="87" t="str">
        <f>template!$A$50</f>
        <v>30/5/2569</v>
      </c>
      <c r="B30" s="42" t="s">
        <v>77</v>
      </c>
      <c r="C30" s="42"/>
      <c r="D30" s="36"/>
      <c r="E30" s="36"/>
      <c r="F30" s="48"/>
      <c r="G30" s="36" t="str">
        <f t="shared" si="1"/>
        <v/>
      </c>
      <c r="H30" s="36"/>
      <c r="I30" s="36"/>
      <c r="J30" s="36"/>
      <c r="K30" s="36"/>
    </row>
    <row r="31" ht="12.75" customHeight="1">
      <c r="A31" s="87" t="str">
        <f>template!$A$50</f>
        <v>30/5/2569</v>
      </c>
      <c r="B31" s="56" t="s">
        <v>83</v>
      </c>
      <c r="C31" s="58"/>
      <c r="D31" s="59"/>
      <c r="E31" s="59"/>
      <c r="F31" s="59"/>
      <c r="G31" s="59"/>
      <c r="H31" s="60">
        <f>E1+E2</f>
        <v>0</v>
      </c>
      <c r="I31" s="36"/>
      <c r="J31" s="36"/>
      <c r="K31" s="36"/>
    </row>
    <row r="32" ht="12.75" customHeight="1">
      <c r="A32" s="87" t="str">
        <f>template!$A$50</f>
        <v>30/5/2569</v>
      </c>
      <c r="B32" s="96" t="s">
        <v>204</v>
      </c>
      <c r="C32" s="64"/>
      <c r="D32" s="63"/>
      <c r="E32" s="63"/>
      <c r="F32" s="63"/>
      <c r="G32" s="97">
        <v>0.0</v>
      </c>
      <c r="H32" s="68"/>
      <c r="I32" s="36"/>
      <c r="J32" s="36"/>
      <c r="K32" s="36"/>
    </row>
    <row r="33" ht="12.75" customHeight="1">
      <c r="A33" s="87" t="str">
        <f>template!$A$50</f>
        <v>30/5/2569</v>
      </c>
      <c r="B33" s="62" t="s">
        <v>85</v>
      </c>
      <c r="C33" s="64"/>
      <c r="D33" s="63"/>
      <c r="E33" s="63"/>
      <c r="F33" s="63"/>
      <c r="G33" s="65">
        <f>G45</f>
        <v>0</v>
      </c>
      <c r="H33" s="68"/>
      <c r="I33" s="36"/>
      <c r="J33" s="36"/>
      <c r="K33" s="36"/>
    </row>
    <row r="34" ht="12.75" customHeight="1">
      <c r="A34" s="87" t="str">
        <f>template!$A$50</f>
        <v>30/5/2569</v>
      </c>
      <c r="B34" s="71" t="s">
        <v>96</v>
      </c>
      <c r="C34" s="82"/>
      <c r="D34" s="41"/>
      <c r="E34" s="41"/>
      <c r="F34" s="41"/>
      <c r="G34" s="41"/>
      <c r="H34" s="84">
        <f>C55</f>
        <v>-171</v>
      </c>
      <c r="I34" s="36"/>
      <c r="J34" s="36"/>
      <c r="K34" s="36"/>
    </row>
    <row r="35" ht="12.75" customHeight="1">
      <c r="A35" s="93"/>
      <c r="B35" s="93"/>
      <c r="C35" s="95"/>
      <c r="D35" s="30">
        <f t="shared" ref="D35:E35" si="2">SUM(D8:D34)</f>
        <v>0</v>
      </c>
      <c r="E35" s="30">
        <f t="shared" si="2"/>
        <v>0</v>
      </c>
      <c r="F35" s="166">
        <f t="shared" ref="F35:H35" si="3">SUM(F7:F34)</f>
        <v>66517</v>
      </c>
      <c r="G35" s="166">
        <f t="shared" si="3"/>
        <v>0</v>
      </c>
      <c r="H35" s="166">
        <f t="shared" si="3"/>
        <v>-171</v>
      </c>
      <c r="I35" s="30"/>
      <c r="J35" s="30">
        <f>SUM(J8:J34)</f>
        <v>234.2553191</v>
      </c>
      <c r="K35" s="98"/>
    </row>
    <row r="36" ht="12.75" customHeight="1">
      <c r="A36" s="46" t="s">
        <v>98</v>
      </c>
      <c r="B36" s="99">
        <f>C58</f>
        <v>5529</v>
      </c>
      <c r="C36" s="100" t="s">
        <v>88</v>
      </c>
      <c r="D36" s="101">
        <f>SUMIF(B8:B34, "*"&amp;"น้ำมัน"&amp;"*", F8:F34)</f>
        <v>23010</v>
      </c>
    </row>
    <row r="37" ht="12.75" customHeight="1">
      <c r="A37" s="46" t="s">
        <v>90</v>
      </c>
      <c r="B37" s="99">
        <f>sum(F35:H35)</f>
        <v>66346</v>
      </c>
      <c r="C37" s="100" t="s">
        <v>92</v>
      </c>
      <c r="D37" s="101">
        <f>F35-D36</f>
        <v>43507</v>
      </c>
    </row>
    <row r="38" ht="12.75" customHeight="1">
      <c r="A38" s="100" t="s">
        <v>93</v>
      </c>
      <c r="B38" s="101">
        <f>J45-B37</f>
        <v>-17430.1</v>
      </c>
    </row>
    <row r="39" ht="12.75" customHeight="1"/>
    <row r="40" ht="12.75" customHeight="1"/>
    <row r="41" ht="12.75" customHeight="1">
      <c r="A41" s="19" t="s">
        <v>23</v>
      </c>
      <c r="B41" s="30"/>
      <c r="C41" s="21" t="s">
        <v>95</v>
      </c>
      <c r="D41" s="23"/>
      <c r="E41" s="23"/>
      <c r="F41" s="22"/>
      <c r="G41" s="82"/>
      <c r="H41" s="82"/>
      <c r="I41" s="70"/>
      <c r="J41" s="82"/>
      <c r="K41" s="82" t="s">
        <v>97</v>
      </c>
      <c r="L41" s="82" t="s">
        <v>99</v>
      </c>
      <c r="M41" s="82" t="s">
        <v>26</v>
      </c>
    </row>
    <row r="42" ht="12.75" customHeight="1">
      <c r="A42" s="29"/>
      <c r="B42" s="30" t="s">
        <v>100</v>
      </c>
      <c r="C42" s="30" t="s">
        <v>101</v>
      </c>
      <c r="D42" s="30" t="s">
        <v>102</v>
      </c>
      <c r="E42" s="30" t="s">
        <v>103</v>
      </c>
      <c r="F42" s="30" t="s">
        <v>104</v>
      </c>
      <c r="G42" s="21" t="s">
        <v>85</v>
      </c>
      <c r="H42" s="102" t="s">
        <v>105</v>
      </c>
      <c r="I42" s="102" t="s">
        <v>106</v>
      </c>
      <c r="J42" s="30" t="s">
        <v>116</v>
      </c>
      <c r="K42" s="82" t="s">
        <v>101</v>
      </c>
      <c r="L42" s="82">
        <v>100.0</v>
      </c>
      <c r="M42" s="82">
        <v>630.0</v>
      </c>
    </row>
    <row r="43" ht="12.75" customHeight="1">
      <c r="A43" s="87">
        <f>template!$A$48</f>
        <v>244627</v>
      </c>
      <c r="B43" s="115"/>
      <c r="C43" s="115"/>
      <c r="D43" s="115"/>
      <c r="E43" s="104"/>
      <c r="F43" s="104">
        <f t="shared" ref="F43:F45" si="4">sum(B43:E43)</f>
        <v>0</v>
      </c>
      <c r="G43" s="105">
        <v>0.0</v>
      </c>
      <c r="H43" s="106">
        <f t="shared" ref="H43:H44" si="5">F43*$L$42</f>
        <v>0</v>
      </c>
      <c r="I43" s="120"/>
      <c r="J43" s="82">
        <f t="shared" ref="J43:J45" si="6">(((B43+C43)*$M$42)+(D43*$M$43)+(E43*$M$44))*0.99</f>
        <v>0</v>
      </c>
      <c r="K43" s="82" t="s">
        <v>102</v>
      </c>
      <c r="L43" s="82">
        <v>100.0</v>
      </c>
      <c r="M43" s="82">
        <v>680.0</v>
      </c>
    </row>
    <row r="44" ht="12.75" customHeight="1">
      <c r="A44" s="87" t="str">
        <f>template!$A$49</f>
        <v>20/5/2569</v>
      </c>
      <c r="B44" s="104"/>
      <c r="C44" s="115"/>
      <c r="D44" s="115"/>
      <c r="E44" s="104"/>
      <c r="F44" s="104">
        <f t="shared" si="4"/>
        <v>0</v>
      </c>
      <c r="G44" s="105">
        <v>0.0</v>
      </c>
      <c r="H44" s="106">
        <f t="shared" si="5"/>
        <v>0</v>
      </c>
      <c r="I44" s="121"/>
      <c r="J44" s="82">
        <f t="shared" si="6"/>
        <v>0</v>
      </c>
      <c r="K44" s="82" t="s">
        <v>103</v>
      </c>
      <c r="L44" s="82">
        <v>100.0</v>
      </c>
      <c r="M44" s="82">
        <v>680.0</v>
      </c>
    </row>
    <row r="45" ht="12.75" customHeight="1">
      <c r="A45" s="87" t="str">
        <f>template!$A$50</f>
        <v>30/5/2569</v>
      </c>
      <c r="B45" s="115">
        <v>12.0</v>
      </c>
      <c r="C45" s="115">
        <v>47.0</v>
      </c>
      <c r="D45" s="115">
        <v>18.0</v>
      </c>
      <c r="E45" s="104"/>
      <c r="F45" s="104">
        <f t="shared" si="4"/>
        <v>77</v>
      </c>
      <c r="G45" s="122">
        <f>IF(F45&lt;150, 0, ((INT(F45/10)*10 - 140) / 10) * 1000)</f>
        <v>0</v>
      </c>
      <c r="H45" s="106">
        <f>(F45*$L$43)</f>
        <v>7700</v>
      </c>
      <c r="I45" s="121"/>
      <c r="J45" s="82">
        <f t="shared" si="6"/>
        <v>48915.9</v>
      </c>
    </row>
    <row r="46" ht="12.75" customHeight="1">
      <c r="B46" s="109"/>
      <c r="C46" s="110"/>
      <c r="D46" s="110"/>
      <c r="E46" s="110"/>
      <c r="F46" s="110"/>
      <c r="G46" s="111" t="s">
        <v>109</v>
      </c>
      <c r="H46" s="111"/>
      <c r="I46" s="112">
        <f>SUM(I43:I45)</f>
        <v>0</v>
      </c>
      <c r="J46" s="111"/>
      <c r="L46" s="100" t="s">
        <v>110</v>
      </c>
    </row>
    <row r="47" ht="12.75" customHeight="1">
      <c r="G47" s="113" t="s">
        <v>111</v>
      </c>
      <c r="H47" s="114">
        <f>H45-I46</f>
        <v>7700</v>
      </c>
      <c r="I47" s="46"/>
      <c r="L47" s="100">
        <v>150.0</v>
      </c>
      <c r="M47" s="100">
        <v>1000.0</v>
      </c>
    </row>
    <row r="48" ht="12.75" customHeight="1">
      <c r="B48" s="100" t="s">
        <v>112</v>
      </c>
      <c r="C48" s="124" t="str">
        <f>C2</f>
        <v>ประจบ กาชัย</v>
      </c>
      <c r="L48" s="100">
        <v>160.0</v>
      </c>
      <c r="M48" s="100">
        <v>2000.0</v>
      </c>
    </row>
    <row r="49" ht="12.75" customHeight="1">
      <c r="B49" s="100" t="s">
        <v>113</v>
      </c>
      <c r="L49" s="100">
        <v>170.0</v>
      </c>
      <c r="M49" s="100">
        <v>3000.0</v>
      </c>
    </row>
    <row r="50" ht="12.75" customHeight="1">
      <c r="B50" s="100" t="s">
        <v>4</v>
      </c>
      <c r="C50" s="156">
        <f>IF(F$45&gt;120, E$1, E$1-2000) +E2</f>
        <v>-2000</v>
      </c>
      <c r="L50" s="100">
        <v>180.0</v>
      </c>
      <c r="M50" s="100">
        <v>4000.0</v>
      </c>
    </row>
    <row r="51" ht="12.75" customHeight="1">
      <c r="B51" s="100" t="s">
        <v>115</v>
      </c>
      <c r="C51" s="122">
        <f>H45</f>
        <v>7700</v>
      </c>
      <c r="L51" s="100">
        <v>190.0</v>
      </c>
      <c r="M51" s="100">
        <v>5000.0</v>
      </c>
    </row>
    <row r="52" ht="12.75" customHeight="1">
      <c r="B52" s="100" t="s">
        <v>85</v>
      </c>
      <c r="C52" s="122">
        <f>G45</f>
        <v>0</v>
      </c>
      <c r="L52" s="100">
        <v>200.0</v>
      </c>
      <c r="M52" s="100">
        <v>6000.0</v>
      </c>
    </row>
    <row r="53" ht="12.75" customHeight="1">
      <c r="B53" s="100"/>
      <c r="C53" s="122"/>
      <c r="L53" s="100">
        <v>210.0</v>
      </c>
      <c r="M53" s="100">
        <v>7000.0</v>
      </c>
    </row>
    <row r="54" ht="12.75" customHeight="1">
      <c r="B54" s="127" t="s">
        <v>116</v>
      </c>
      <c r="C54" s="128">
        <f>sum(C50:C53)</f>
        <v>5700</v>
      </c>
      <c r="L54" s="100">
        <v>220.0</v>
      </c>
      <c r="M54" s="100">
        <v>8000.0</v>
      </c>
    </row>
    <row r="55" ht="12.75" customHeight="1">
      <c r="B55" s="127" t="s">
        <v>123</v>
      </c>
      <c r="C55" s="127">
        <f>-C54*3%</f>
        <v>-171</v>
      </c>
      <c r="L55" s="100">
        <v>230.0</v>
      </c>
      <c r="M55" s="100">
        <v>9000.0</v>
      </c>
    </row>
    <row r="56" ht="12.75" customHeight="1">
      <c r="B56" s="129" t="s">
        <v>118</v>
      </c>
      <c r="C56" s="127">
        <f t="shared" ref="C56:C57" si="7">-I43</f>
        <v>0</v>
      </c>
    </row>
    <row r="57" ht="12.75" customHeight="1">
      <c r="B57" s="129" t="s">
        <v>120</v>
      </c>
      <c r="C57" s="127">
        <f t="shared" si="7"/>
        <v>0</v>
      </c>
    </row>
    <row r="58" ht="12.75" customHeight="1">
      <c r="B58" s="100" t="s">
        <v>121</v>
      </c>
      <c r="C58" s="122">
        <f>sum(C54:C57)</f>
        <v>5529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mergeCells count="8">
    <mergeCell ref="A5:A6"/>
    <mergeCell ref="B5:B6"/>
    <mergeCell ref="C5:C6"/>
    <mergeCell ref="D5:E5"/>
    <mergeCell ref="F5:H5"/>
    <mergeCell ref="J5:J6"/>
    <mergeCell ref="A41:A42"/>
    <mergeCell ref="C41:F41"/>
  </mergeCells>
  <conditionalFormatting sqref="B38">
    <cfRule type="cellIs" dxfId="0" priority="1" operator="greaterThan">
      <formula>0</formula>
    </cfRule>
  </conditionalFormatting>
  <conditionalFormatting sqref="B38">
    <cfRule type="cellIs" dxfId="1" priority="2" operator="lessThan">
      <formula>0</formula>
    </cfRule>
  </conditionalFormatting>
  <dataValidations>
    <dataValidation type="list" allowBlank="1" showErrorMessage="1" sqref="K7:K11 K14 K21:K34">
      <formula1>"บิลสมบูรณ์,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K13 K20">
      <formula1>"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B38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4.13"/>
    <col customWidth="1" min="4" max="5" width="15.5"/>
    <col customWidth="1" min="6" max="7" width="14.5"/>
    <col customWidth="1" min="8" max="8" width="18.0"/>
    <col customWidth="1" min="9" max="10" width="15.5"/>
    <col customWidth="1" min="11" max="11" width="38.13"/>
    <col customWidth="1" min="12" max="35" width="8.88"/>
  </cols>
  <sheetData>
    <row r="1">
      <c r="A1" s="1" t="s">
        <v>2</v>
      </c>
      <c r="B1" s="1"/>
      <c r="C1" s="1" t="str">
        <f>template!$C$1</f>
        <v>พฤษภาคม2569</v>
      </c>
      <c r="D1" s="1" t="s">
        <v>4</v>
      </c>
      <c r="E1" s="1">
        <v>10000.0</v>
      </c>
      <c r="F1" s="1"/>
      <c r="G1" s="4"/>
      <c r="H1" s="168" t="s">
        <v>205</v>
      </c>
      <c r="I1" s="1"/>
      <c r="J1" s="1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12" t="s">
        <v>206</v>
      </c>
      <c r="B2" s="9"/>
      <c r="C2" s="157" t="s">
        <v>207</v>
      </c>
      <c r="D2" s="13" t="s">
        <v>9</v>
      </c>
      <c r="E2" s="13">
        <v>0.0</v>
      </c>
      <c r="F2" s="15"/>
      <c r="G2" s="4" t="s">
        <v>208</v>
      </c>
      <c r="H2" s="4">
        <v>1.633291035E9</v>
      </c>
      <c r="I2" s="15"/>
      <c r="J2" s="15"/>
      <c r="K2" s="9"/>
      <c r="L2" s="9"/>
      <c r="M2" s="9"/>
      <c r="N2" s="9"/>
      <c r="O2" s="9"/>
      <c r="P2" s="9"/>
      <c r="Q2" s="9"/>
      <c r="R2" s="15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</row>
    <row r="3">
      <c r="A3" s="9" t="s">
        <v>209</v>
      </c>
      <c r="B3" s="9"/>
      <c r="C3" s="157">
        <v>3.400600329942E12</v>
      </c>
      <c r="D3" s="1" t="s">
        <v>210</v>
      </c>
      <c r="E3" s="9"/>
      <c r="F3" s="15"/>
      <c r="G3" s="4"/>
      <c r="H3" s="4"/>
      <c r="I3" s="17" t="str">
        <f>'ทะเบียน ประกัน'!C11</f>
        <v>75-0286 สป</v>
      </c>
      <c r="J3" s="17" t="str">
        <f>'ทะเบียน ประกัน'!I11</f>
        <v>75-0289 สป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ht="9.75" customHeight="1">
      <c r="A4" s="5"/>
      <c r="B4" s="6"/>
      <c r="C4" s="6"/>
      <c r="D4" s="5"/>
      <c r="E4" s="6"/>
      <c r="F4" s="11"/>
      <c r="G4" s="11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12.75" customHeight="1">
      <c r="A5" s="19" t="s">
        <v>23</v>
      </c>
      <c r="B5" s="19" t="s">
        <v>25</v>
      </c>
      <c r="C5" s="19" t="s">
        <v>27</v>
      </c>
      <c r="D5" s="21" t="s">
        <v>26</v>
      </c>
      <c r="E5" s="22"/>
      <c r="F5" s="21" t="s">
        <v>28</v>
      </c>
      <c r="G5" s="23"/>
      <c r="H5" s="22"/>
      <c r="I5" s="24"/>
      <c r="J5" s="27" t="s">
        <v>29</v>
      </c>
      <c r="K5" s="28" t="s">
        <v>30</v>
      </c>
    </row>
    <row r="6" ht="12.75" customHeight="1">
      <c r="A6" s="29"/>
      <c r="B6" s="29"/>
      <c r="C6" s="29"/>
      <c r="D6" s="30" t="s">
        <v>26</v>
      </c>
      <c r="E6" s="30" t="s">
        <v>32</v>
      </c>
      <c r="F6" s="30" t="s">
        <v>33</v>
      </c>
      <c r="G6" s="30" t="s">
        <v>34</v>
      </c>
      <c r="H6" s="30" t="s">
        <v>35</v>
      </c>
      <c r="I6" s="24"/>
      <c r="J6" s="29"/>
      <c r="K6" s="33" t="s">
        <v>38</v>
      </c>
    </row>
    <row r="7" ht="12.75" customHeight="1">
      <c r="A7" s="34">
        <v>244354.0</v>
      </c>
      <c r="B7" s="35" t="s">
        <v>41</v>
      </c>
      <c r="C7" s="35">
        <v>29.0</v>
      </c>
      <c r="D7" s="36"/>
      <c r="E7" s="36"/>
      <c r="F7" s="40">
        <v>8100.0</v>
      </c>
      <c r="G7" s="59"/>
      <c r="H7" s="36"/>
      <c r="I7" s="36"/>
      <c r="J7" s="36">
        <f t="shared" ref="J7:J9" si="1">F7/C7</f>
        <v>279.3103448</v>
      </c>
      <c r="K7" s="38"/>
    </row>
    <row r="8" ht="12.75" customHeight="1">
      <c r="A8" s="34">
        <v>244474.0</v>
      </c>
      <c r="B8" s="35" t="s">
        <v>41</v>
      </c>
      <c r="C8" s="35">
        <v>39.0</v>
      </c>
      <c r="D8" s="36"/>
      <c r="E8" s="36"/>
      <c r="F8" s="40">
        <v>10100.0</v>
      </c>
      <c r="G8" s="36"/>
      <c r="H8" s="36"/>
      <c r="I8" s="36"/>
      <c r="J8" s="36">
        <f t="shared" si="1"/>
        <v>258.974359</v>
      </c>
      <c r="K8" s="38" t="s">
        <v>211</v>
      </c>
      <c r="N8" s="43"/>
    </row>
    <row r="9" ht="12.75" customHeight="1">
      <c r="A9" s="34">
        <v>244627.0</v>
      </c>
      <c r="B9" s="35" t="s">
        <v>41</v>
      </c>
      <c r="C9" s="92">
        <v>35.0</v>
      </c>
      <c r="D9" s="36"/>
      <c r="E9" s="36"/>
      <c r="F9" s="40">
        <v>10100.0</v>
      </c>
      <c r="G9" s="36"/>
      <c r="H9" s="36"/>
      <c r="I9" s="36"/>
      <c r="J9" s="36">
        <f t="shared" si="1"/>
        <v>288.5714286</v>
      </c>
      <c r="K9" s="38" t="s">
        <v>212</v>
      </c>
    </row>
    <row r="10" ht="12.75" customHeight="1">
      <c r="A10" s="34">
        <v>244688.0</v>
      </c>
      <c r="B10" s="35" t="s">
        <v>49</v>
      </c>
      <c r="C10" s="66"/>
      <c r="D10" s="68"/>
      <c r="E10" s="68"/>
      <c r="F10" s="147">
        <v>600.0</v>
      </c>
      <c r="G10" s="36"/>
      <c r="H10" s="36"/>
      <c r="I10" s="36"/>
      <c r="J10" s="36"/>
      <c r="K10" s="38"/>
    </row>
    <row r="11" ht="12.75" customHeight="1">
      <c r="A11" s="51" t="s">
        <v>72</v>
      </c>
      <c r="B11" s="35" t="s">
        <v>41</v>
      </c>
      <c r="C11" s="35">
        <v>40.0</v>
      </c>
      <c r="D11" s="36"/>
      <c r="E11" s="48"/>
      <c r="F11" s="40">
        <v>10100.0</v>
      </c>
      <c r="G11" s="36"/>
      <c r="H11" s="36"/>
      <c r="I11" s="36"/>
      <c r="J11" s="36">
        <f>F11/C11</f>
        <v>252.5</v>
      </c>
      <c r="K11" s="38" t="s">
        <v>213</v>
      </c>
    </row>
    <row r="12" ht="12.75" customHeight="1">
      <c r="A12" s="51" t="s">
        <v>108</v>
      </c>
      <c r="B12" s="35" t="s">
        <v>41</v>
      </c>
      <c r="C12" s="82"/>
      <c r="D12" s="36"/>
      <c r="E12" s="36"/>
      <c r="F12" s="40">
        <v>10100.0</v>
      </c>
      <c r="G12" s="59"/>
      <c r="H12" s="59"/>
      <c r="I12" s="59"/>
      <c r="J12" s="36"/>
      <c r="K12" s="59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</row>
    <row r="13" ht="12.75" customHeight="1">
      <c r="A13" s="51" t="s">
        <v>142</v>
      </c>
      <c r="B13" s="35" t="s">
        <v>41</v>
      </c>
      <c r="C13" s="70"/>
      <c r="D13" s="41"/>
      <c r="E13" s="41"/>
      <c r="F13" s="40">
        <v>10100.0</v>
      </c>
      <c r="G13" s="84"/>
      <c r="H13" s="41"/>
      <c r="I13" s="41"/>
      <c r="J13" s="41"/>
      <c r="K13" s="55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ht="12.75" customHeight="1">
      <c r="A14" s="51" t="s">
        <v>80</v>
      </c>
      <c r="B14" s="67" t="s">
        <v>214</v>
      </c>
      <c r="C14" s="70"/>
      <c r="D14" s="68"/>
      <c r="E14" s="68"/>
      <c r="F14" s="73">
        <v>2942.5</v>
      </c>
      <c r="G14" s="72"/>
      <c r="H14" s="36"/>
      <c r="I14" s="36"/>
      <c r="J14" s="36"/>
      <c r="K14" s="45"/>
    </row>
    <row r="15" ht="12.75" customHeight="1">
      <c r="A15" s="51" t="s">
        <v>60</v>
      </c>
      <c r="B15" s="89" t="s">
        <v>215</v>
      </c>
      <c r="C15" s="42"/>
      <c r="D15" s="36"/>
      <c r="E15" s="36"/>
      <c r="F15" s="38">
        <v>1280.0</v>
      </c>
      <c r="G15" s="36"/>
      <c r="H15" s="36"/>
      <c r="I15" s="36"/>
      <c r="J15" s="36"/>
      <c r="K15" s="36"/>
      <c r="N15" s="43"/>
    </row>
    <row r="16" ht="12.75" customHeight="1">
      <c r="A16" s="53"/>
      <c r="B16" s="71"/>
      <c r="C16" s="70"/>
      <c r="D16" s="41"/>
      <c r="E16" s="41"/>
      <c r="F16" s="41"/>
      <c r="G16" s="84"/>
      <c r="H16" s="41"/>
      <c r="I16" s="41"/>
      <c r="J16" s="41"/>
      <c r="K16" s="55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</row>
    <row r="17" ht="12.75" customHeight="1">
      <c r="A17" s="86"/>
      <c r="B17" s="56"/>
      <c r="C17" s="58"/>
      <c r="D17" s="59"/>
      <c r="E17" s="59"/>
      <c r="F17" s="59"/>
      <c r="G17" s="59"/>
      <c r="H17" s="60"/>
      <c r="I17" s="36"/>
      <c r="J17" s="36"/>
      <c r="K17" s="36"/>
    </row>
    <row r="18" ht="12.75" customHeight="1">
      <c r="A18" s="86"/>
      <c r="B18" s="62"/>
      <c r="C18" s="64"/>
      <c r="D18" s="63"/>
      <c r="E18" s="63"/>
      <c r="F18" s="63"/>
      <c r="G18" s="65"/>
      <c r="H18" s="36"/>
      <c r="I18" s="36"/>
      <c r="J18" s="36"/>
      <c r="K18" s="36"/>
    </row>
    <row r="19" ht="12.75" customHeight="1">
      <c r="A19" s="86"/>
      <c r="B19" s="62"/>
      <c r="C19" s="64"/>
      <c r="D19" s="63"/>
      <c r="E19" s="63"/>
      <c r="F19" s="63"/>
      <c r="G19" s="65"/>
      <c r="H19" s="36"/>
      <c r="I19" s="36"/>
      <c r="J19" s="36"/>
      <c r="K19" s="36"/>
    </row>
    <row r="20" ht="12.75" customHeight="1">
      <c r="A20" s="53"/>
      <c r="B20" s="56"/>
      <c r="C20" s="58"/>
      <c r="D20" s="59"/>
      <c r="E20" s="59"/>
      <c r="F20" s="60"/>
      <c r="G20" s="36"/>
      <c r="H20" s="36"/>
      <c r="I20" s="36"/>
      <c r="J20" s="36"/>
      <c r="K20" s="36"/>
    </row>
    <row r="21" ht="12.75" customHeight="1">
      <c r="A21" s="53"/>
      <c r="B21" s="42"/>
      <c r="C21" s="42"/>
      <c r="D21" s="36"/>
      <c r="E21" s="36"/>
      <c r="F21" s="36"/>
      <c r="G21" s="63"/>
      <c r="H21" s="63"/>
      <c r="I21" s="63"/>
      <c r="J21" s="63"/>
      <c r="K21" s="63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</row>
    <row r="22" ht="12.75" customHeight="1">
      <c r="A22" s="53"/>
      <c r="B22" s="56"/>
      <c r="C22" s="58"/>
      <c r="D22" s="59"/>
      <c r="E22" s="59"/>
      <c r="F22" s="59"/>
      <c r="G22" s="59"/>
      <c r="H22" s="60"/>
      <c r="I22" s="63"/>
      <c r="J22" s="63"/>
      <c r="K22" s="63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</row>
    <row r="23" ht="12.75" customHeight="1">
      <c r="A23" s="51"/>
      <c r="B23" s="67"/>
      <c r="C23" s="64"/>
      <c r="D23" s="63"/>
      <c r="E23" s="63"/>
      <c r="F23" s="63"/>
      <c r="G23" s="97"/>
      <c r="H23" s="41"/>
      <c r="I23" s="36"/>
      <c r="J23" s="36"/>
      <c r="K23" s="36"/>
    </row>
    <row r="24" ht="12.75" customHeight="1">
      <c r="A24" s="51"/>
      <c r="B24" s="67"/>
      <c r="C24" s="64"/>
      <c r="D24" s="63"/>
      <c r="E24" s="63"/>
      <c r="F24" s="63"/>
      <c r="G24" s="57"/>
      <c r="H24" s="41"/>
      <c r="I24" s="36"/>
      <c r="J24" s="36"/>
      <c r="K24" s="36"/>
    </row>
    <row r="25" ht="12.75" customHeight="1">
      <c r="A25" s="34"/>
      <c r="B25" s="67"/>
      <c r="C25" s="42"/>
      <c r="D25" s="36"/>
      <c r="E25" s="36"/>
      <c r="F25" s="36"/>
      <c r="G25" s="57"/>
      <c r="H25" s="169"/>
      <c r="I25" s="36"/>
      <c r="J25" s="36"/>
      <c r="K25" s="36"/>
    </row>
    <row r="26" ht="12.75" customHeight="1">
      <c r="A26" s="51" t="s">
        <v>191</v>
      </c>
      <c r="B26" s="76" t="s">
        <v>202</v>
      </c>
      <c r="C26" s="58"/>
      <c r="D26" s="59"/>
      <c r="E26" s="59"/>
      <c r="F26" s="60">
        <v>20271.0</v>
      </c>
      <c r="G26" s="36"/>
      <c r="H26" s="36"/>
      <c r="I26" s="36"/>
      <c r="J26" s="36"/>
      <c r="K26" s="36"/>
    </row>
    <row r="27" ht="12.75" customHeight="1">
      <c r="A27" s="51" t="s">
        <v>191</v>
      </c>
      <c r="B27" s="35" t="s">
        <v>203</v>
      </c>
      <c r="C27" s="42"/>
      <c r="D27" s="36"/>
      <c r="E27" s="36"/>
      <c r="F27" s="36">
        <v>3686.0</v>
      </c>
      <c r="G27" s="36"/>
      <c r="H27" s="36"/>
      <c r="I27" s="36"/>
      <c r="J27" s="36"/>
      <c r="K27" s="36"/>
    </row>
    <row r="28" ht="12.75" customHeight="1">
      <c r="A28" s="87">
        <f>template!$A$48</f>
        <v>244627</v>
      </c>
      <c r="B28" s="42" t="s">
        <v>77</v>
      </c>
      <c r="C28" s="42"/>
      <c r="D28" s="36"/>
      <c r="E28" s="36"/>
      <c r="F28" s="57">
        <v>0.0</v>
      </c>
      <c r="G28" s="36">
        <f t="shared" ref="G28:G30" si="2">I43</f>
        <v>7100</v>
      </c>
      <c r="H28" s="36"/>
      <c r="I28" s="36"/>
      <c r="J28" s="36"/>
      <c r="K28" s="36"/>
    </row>
    <row r="29" ht="12.75" customHeight="1">
      <c r="A29" s="87" t="str">
        <f>template!$A$49</f>
        <v>20/5/2569</v>
      </c>
      <c r="B29" s="42" t="s">
        <v>77</v>
      </c>
      <c r="C29" s="42"/>
      <c r="D29" s="36"/>
      <c r="E29" s="36"/>
      <c r="F29" s="48"/>
      <c r="G29" s="36">
        <f t="shared" si="2"/>
        <v>7300</v>
      </c>
      <c r="H29" s="36"/>
      <c r="I29" s="36"/>
      <c r="J29" s="36"/>
      <c r="K29" s="36"/>
    </row>
    <row r="30" ht="12.75" customHeight="1">
      <c r="A30" s="87" t="str">
        <f>template!$A$50</f>
        <v>30/5/2569</v>
      </c>
      <c r="B30" s="42" t="s">
        <v>77</v>
      </c>
      <c r="C30" s="42"/>
      <c r="D30" s="36"/>
      <c r="E30" s="36"/>
      <c r="F30" s="48"/>
      <c r="G30" s="36">
        <f t="shared" si="2"/>
        <v>8300</v>
      </c>
      <c r="H30" s="36"/>
      <c r="I30" s="36"/>
      <c r="J30" s="36"/>
      <c r="K30" s="36"/>
    </row>
    <row r="31" ht="12.75" customHeight="1">
      <c r="A31" s="87" t="str">
        <f>template!$A$50</f>
        <v>30/5/2569</v>
      </c>
      <c r="B31" s="56" t="s">
        <v>83</v>
      </c>
      <c r="C31" s="58"/>
      <c r="D31" s="59"/>
      <c r="E31" s="59"/>
      <c r="F31" s="59"/>
      <c r="G31" s="59"/>
      <c r="H31" s="60">
        <f>E1</f>
        <v>10000</v>
      </c>
      <c r="I31" s="36"/>
      <c r="J31" s="36"/>
      <c r="K31" s="36"/>
    </row>
    <row r="32" ht="12.75" customHeight="1">
      <c r="A32" s="87" t="str">
        <f>template!$A$50</f>
        <v>30/5/2569</v>
      </c>
      <c r="B32" s="62"/>
      <c r="C32" s="64"/>
      <c r="D32" s="63"/>
      <c r="E32" s="63"/>
      <c r="F32" s="63"/>
      <c r="G32" s="65"/>
      <c r="H32" s="68"/>
      <c r="I32" s="36"/>
      <c r="J32" s="36"/>
      <c r="K32" s="36"/>
    </row>
    <row r="33" ht="12.75" customHeight="1">
      <c r="A33" s="87" t="str">
        <f>template!$A$50</f>
        <v>30/5/2569</v>
      </c>
      <c r="B33" s="62" t="s">
        <v>85</v>
      </c>
      <c r="C33" s="64"/>
      <c r="D33" s="63"/>
      <c r="E33" s="63"/>
      <c r="F33" s="63"/>
      <c r="G33" s="65">
        <f>G45</f>
        <v>8000</v>
      </c>
      <c r="H33" s="68"/>
      <c r="I33" s="36"/>
      <c r="J33" s="36"/>
      <c r="K33" s="36"/>
    </row>
    <row r="34" ht="12.75" customHeight="1">
      <c r="A34" s="87" t="str">
        <f>template!$A$50</f>
        <v>30/5/2569</v>
      </c>
      <c r="B34" s="71" t="s">
        <v>96</v>
      </c>
      <c r="C34" s="82"/>
      <c r="D34" s="41"/>
      <c r="E34" s="41"/>
      <c r="F34" s="41"/>
      <c r="G34" s="41"/>
      <c r="H34" s="84">
        <f>C55</f>
        <v>-1221</v>
      </c>
      <c r="I34" s="36"/>
      <c r="J34" s="36"/>
      <c r="K34" s="36"/>
    </row>
    <row r="35" ht="12.75" customHeight="1">
      <c r="A35" s="93"/>
      <c r="B35" s="93"/>
      <c r="C35" s="95"/>
      <c r="D35" s="30">
        <f t="shared" ref="D35:E35" si="3">SUM(D8:D34)</f>
        <v>0</v>
      </c>
      <c r="E35" s="30">
        <f t="shared" si="3"/>
        <v>0</v>
      </c>
      <c r="F35" s="166">
        <f t="shared" ref="F35:H35" si="4">SUM(F7:F34)</f>
        <v>87379.5</v>
      </c>
      <c r="G35" s="166">
        <f t="shared" si="4"/>
        <v>30700</v>
      </c>
      <c r="H35" s="166">
        <f t="shared" si="4"/>
        <v>8779</v>
      </c>
      <c r="I35" s="30"/>
      <c r="J35" s="30">
        <f>SUM(J8:J34)</f>
        <v>800.0457875</v>
      </c>
      <c r="K35" s="98"/>
    </row>
    <row r="36" ht="12.75" customHeight="1">
      <c r="A36" s="46" t="s">
        <v>98</v>
      </c>
      <c r="B36" s="99">
        <f>C58</f>
        <v>25079</v>
      </c>
      <c r="C36" s="100" t="s">
        <v>88</v>
      </c>
      <c r="D36" s="101">
        <f>SUMIF(B8:B34, "*"&amp;"น้ำมัน"&amp;"*", F8:F34)</f>
        <v>50500</v>
      </c>
    </row>
    <row r="37" ht="12.75" customHeight="1">
      <c r="A37" s="46" t="s">
        <v>90</v>
      </c>
      <c r="B37" s="99">
        <f>sum(F35:H35)</f>
        <v>126858.5</v>
      </c>
      <c r="C37" s="100" t="s">
        <v>92</v>
      </c>
      <c r="D37" s="101">
        <f>F35-D36</f>
        <v>36879.5</v>
      </c>
    </row>
    <row r="38" ht="12.75" customHeight="1">
      <c r="A38" s="100" t="s">
        <v>93</v>
      </c>
      <c r="B38" s="101">
        <f>J45-B37</f>
        <v>17394.4</v>
      </c>
    </row>
    <row r="39" ht="12.75" customHeight="1"/>
    <row r="40" ht="12.75" customHeight="1"/>
    <row r="41" ht="12.75" customHeight="1">
      <c r="A41" s="19" t="s">
        <v>23</v>
      </c>
      <c r="B41" s="30"/>
      <c r="C41" s="21" t="s">
        <v>95</v>
      </c>
      <c r="D41" s="23"/>
      <c r="E41" s="23"/>
      <c r="F41" s="22"/>
      <c r="G41" s="82"/>
      <c r="H41" s="82"/>
      <c r="I41" s="70"/>
      <c r="J41" s="82"/>
      <c r="K41" s="82" t="s">
        <v>97</v>
      </c>
      <c r="L41" s="82" t="s">
        <v>99</v>
      </c>
      <c r="M41" s="82" t="s">
        <v>26</v>
      </c>
    </row>
    <row r="42" ht="12.75" customHeight="1">
      <c r="A42" s="29"/>
      <c r="B42" s="30" t="s">
        <v>100</v>
      </c>
      <c r="C42" s="30" t="s">
        <v>101</v>
      </c>
      <c r="D42" s="30" t="s">
        <v>102</v>
      </c>
      <c r="E42" s="30" t="s">
        <v>103</v>
      </c>
      <c r="F42" s="30" t="s">
        <v>104</v>
      </c>
      <c r="G42" s="21" t="s">
        <v>85</v>
      </c>
      <c r="H42" s="102" t="s">
        <v>105</v>
      </c>
      <c r="I42" s="102" t="s">
        <v>106</v>
      </c>
      <c r="J42" s="30" t="s">
        <v>116</v>
      </c>
      <c r="K42" s="82" t="s">
        <v>101</v>
      </c>
      <c r="L42" s="82">
        <v>100.0</v>
      </c>
      <c r="M42" s="82">
        <v>630.0</v>
      </c>
    </row>
    <row r="43" ht="12.75" customHeight="1">
      <c r="A43" s="87">
        <f>template!$A$48</f>
        <v>244627</v>
      </c>
      <c r="B43" s="115">
        <v>4.0</v>
      </c>
      <c r="C43" s="115">
        <v>55.0</v>
      </c>
      <c r="D43" s="115">
        <v>12.0</v>
      </c>
      <c r="E43" s="104"/>
      <c r="F43" s="104">
        <f t="shared" ref="F43:F45" si="5">sum(B43:E43)</f>
        <v>71</v>
      </c>
      <c r="G43" s="105">
        <v>0.0</v>
      </c>
      <c r="H43" s="106">
        <f t="shared" ref="H43:H44" si="6">F43*$L$42</f>
        <v>7100</v>
      </c>
      <c r="I43" s="120">
        <v>7100.0</v>
      </c>
      <c r="J43" s="82">
        <f t="shared" ref="J43:J45" si="7">(((B43+C43)*$M$42)+(D43*$M$43)+(E43*$M$44))*0.99</f>
        <v>44876.7</v>
      </c>
      <c r="K43" s="82" t="s">
        <v>102</v>
      </c>
      <c r="L43" s="82">
        <v>100.0</v>
      </c>
      <c r="M43" s="82">
        <v>680.0</v>
      </c>
    </row>
    <row r="44" ht="12.75" customHeight="1">
      <c r="A44" s="87" t="str">
        <f>template!$A$49</f>
        <v>20/5/2569</v>
      </c>
      <c r="B44" s="115">
        <v>4.0</v>
      </c>
      <c r="C44" s="115">
        <v>107.0</v>
      </c>
      <c r="D44" s="115">
        <v>33.0</v>
      </c>
      <c r="E44" s="104"/>
      <c r="F44" s="104">
        <f t="shared" si="5"/>
        <v>144</v>
      </c>
      <c r="G44" s="105">
        <v>0.0</v>
      </c>
      <c r="H44" s="106">
        <f t="shared" si="6"/>
        <v>14400</v>
      </c>
      <c r="I44" s="121">
        <v>7300.0</v>
      </c>
      <c r="J44" s="82">
        <f t="shared" si="7"/>
        <v>91446.3</v>
      </c>
      <c r="K44" s="82" t="s">
        <v>103</v>
      </c>
      <c r="L44" s="82">
        <v>100.0</v>
      </c>
      <c r="M44" s="82">
        <v>680.0</v>
      </c>
    </row>
    <row r="45" ht="12.75" customHeight="1">
      <c r="A45" s="87" t="str">
        <f>template!$A$50</f>
        <v>30/5/2569</v>
      </c>
      <c r="B45" s="115">
        <v>12.0</v>
      </c>
      <c r="C45" s="115">
        <v>161.0</v>
      </c>
      <c r="D45" s="115">
        <v>54.0</v>
      </c>
      <c r="E45" s="104"/>
      <c r="F45" s="104">
        <f t="shared" si="5"/>
        <v>227</v>
      </c>
      <c r="G45" s="122">
        <f>IF(F45&lt;150, 0, ((INT(F45/10)*10 - 140) / 10) * 1000)</f>
        <v>8000</v>
      </c>
      <c r="H45" s="106">
        <f>F45*L42</f>
        <v>22700</v>
      </c>
      <c r="I45" s="121">
        <v>8300.0</v>
      </c>
      <c r="J45" s="82">
        <f t="shared" si="7"/>
        <v>144252.9</v>
      </c>
    </row>
    <row r="46" ht="12.75" customHeight="1">
      <c r="B46" s="109"/>
      <c r="C46" s="110"/>
      <c r="D46" s="110"/>
      <c r="E46" s="110"/>
      <c r="F46" s="110"/>
      <c r="G46" s="111" t="s">
        <v>109</v>
      </c>
      <c r="H46" s="111"/>
      <c r="I46" s="112">
        <f>SUM(I43:I45)</f>
        <v>22700</v>
      </c>
      <c r="J46" s="111"/>
      <c r="L46" s="100" t="s">
        <v>110</v>
      </c>
    </row>
    <row r="47" ht="12.75" customHeight="1">
      <c r="G47" s="113" t="s">
        <v>111</v>
      </c>
      <c r="H47" s="114">
        <f>H45-I46</f>
        <v>0</v>
      </c>
      <c r="I47" s="46"/>
      <c r="L47" s="100">
        <v>150.0</v>
      </c>
      <c r="M47" s="100">
        <v>1000.0</v>
      </c>
    </row>
    <row r="48" ht="12.75" customHeight="1">
      <c r="B48" s="100" t="s">
        <v>112</v>
      </c>
      <c r="C48" s="124" t="str">
        <f>C2</f>
        <v>บุญมี ศรีสุระ</v>
      </c>
      <c r="L48" s="100">
        <v>160.0</v>
      </c>
      <c r="M48" s="100">
        <v>2000.0</v>
      </c>
    </row>
    <row r="49" ht="12.75" customHeight="1">
      <c r="B49" s="100" t="s">
        <v>113</v>
      </c>
      <c r="L49" s="100">
        <v>170.0</v>
      </c>
      <c r="M49" s="100">
        <v>3000.0</v>
      </c>
    </row>
    <row r="50" ht="12.75" customHeight="1">
      <c r="B50" s="100" t="s">
        <v>4</v>
      </c>
      <c r="C50" s="156">
        <f>IF(F$45&gt;120, E$1, E$1-2000) +E2</f>
        <v>10000</v>
      </c>
      <c r="L50" s="100">
        <v>180.0</v>
      </c>
      <c r="M50" s="100">
        <v>4000.0</v>
      </c>
    </row>
    <row r="51" ht="12.75" customHeight="1">
      <c r="B51" s="100" t="s">
        <v>115</v>
      </c>
      <c r="C51" s="122">
        <f>H45</f>
        <v>22700</v>
      </c>
      <c r="L51" s="100">
        <v>190.0</v>
      </c>
      <c r="M51" s="100">
        <v>5000.0</v>
      </c>
    </row>
    <row r="52" ht="12.75" customHeight="1">
      <c r="B52" s="100" t="s">
        <v>85</v>
      </c>
      <c r="C52" s="122">
        <f>G45</f>
        <v>8000</v>
      </c>
      <c r="L52" s="100">
        <v>200.0</v>
      </c>
      <c r="M52" s="100">
        <v>6000.0</v>
      </c>
    </row>
    <row r="53" ht="12.75" customHeight="1">
      <c r="B53" s="127"/>
      <c r="C53" s="127"/>
      <c r="L53" s="100">
        <v>210.0</v>
      </c>
      <c r="M53" s="100">
        <v>7000.0</v>
      </c>
    </row>
    <row r="54" ht="12.75" customHeight="1">
      <c r="B54" s="127" t="s">
        <v>116</v>
      </c>
      <c r="C54" s="128">
        <f>sum(C50:C52)</f>
        <v>40700</v>
      </c>
      <c r="L54" s="100">
        <v>220.0</v>
      </c>
      <c r="M54" s="100">
        <v>8000.0</v>
      </c>
    </row>
    <row r="55" ht="12.75" customHeight="1">
      <c r="B55" s="127" t="s">
        <v>123</v>
      </c>
      <c r="C55" s="127">
        <f>-C54*3%</f>
        <v>-1221</v>
      </c>
      <c r="L55" s="100">
        <v>230.0</v>
      </c>
      <c r="M55" s="100">
        <v>9000.0</v>
      </c>
    </row>
    <row r="56" ht="12.75" customHeight="1">
      <c r="B56" s="129" t="s">
        <v>118</v>
      </c>
      <c r="C56" s="127">
        <f t="shared" ref="C56:C57" si="8">-I43</f>
        <v>-7100</v>
      </c>
    </row>
    <row r="57" ht="12.75" customHeight="1">
      <c r="B57" s="129" t="s">
        <v>120</v>
      </c>
      <c r="C57" s="127">
        <f t="shared" si="8"/>
        <v>-7300</v>
      </c>
    </row>
    <row r="58" ht="12.75" customHeight="1">
      <c r="B58" s="100" t="s">
        <v>121</v>
      </c>
      <c r="C58" s="122">
        <f>sum(C54:C57)</f>
        <v>25079</v>
      </c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mergeCells count="8">
    <mergeCell ref="A5:A6"/>
    <mergeCell ref="B5:B6"/>
    <mergeCell ref="C5:C6"/>
    <mergeCell ref="D5:E5"/>
    <mergeCell ref="F5:H5"/>
    <mergeCell ref="J5:J6"/>
    <mergeCell ref="A41:A42"/>
    <mergeCell ref="C41:F41"/>
  </mergeCells>
  <conditionalFormatting sqref="B38">
    <cfRule type="cellIs" dxfId="0" priority="1" operator="greaterThan">
      <formula>0</formula>
    </cfRule>
  </conditionalFormatting>
  <conditionalFormatting sqref="B38">
    <cfRule type="cellIs" dxfId="1" priority="2" operator="lessThan">
      <formula>0</formula>
    </cfRule>
  </conditionalFormatting>
  <dataValidations>
    <dataValidation type="list" allowBlank="1" showErrorMessage="1" sqref="K12 K14 K21:K34">
      <formula1>"บิลสมบูรณ์,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K13 K16 K20">
      <formula1>"บิลเงินสด+ใบรับรองแทนใบเสร็จรับเงิน,ใบรับรองแทนใบเสร็จรับเงิน,ใบสำคัญรับเงิน,รายงานยอดขายประจำวัน,ใบทะเบียนเงินเดือน"</formula1>
    </dataValidation>
    <dataValidation type="list" allowBlank="1" showErrorMessage="1" sqref="B38">
      <formula1>"26,254.00"</formula1>
    </dataValidation>
  </dataValidations>
  <printOptions horizontalCentered="1"/>
  <pageMargins bottom="0.5511811023622047" footer="0.0" header="0.0" left="0.7086614173228347" right="0.7086614173228347" top="0.7874015748031497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75"/>
  </cols>
  <sheetData>
    <row r="1">
      <c r="A1" s="19" t="s">
        <v>23</v>
      </c>
      <c r="B1" s="19" t="s">
        <v>25</v>
      </c>
      <c r="C1" s="21" t="s">
        <v>26</v>
      </c>
      <c r="D1" s="22"/>
      <c r="E1" s="21" t="s">
        <v>28</v>
      </c>
      <c r="F1" s="23"/>
      <c r="G1" s="22"/>
      <c r="H1" s="24"/>
    </row>
    <row r="2">
      <c r="A2" s="29"/>
      <c r="B2" s="29"/>
      <c r="C2" s="30" t="s">
        <v>26</v>
      </c>
      <c r="D2" s="30" t="s">
        <v>32</v>
      </c>
      <c r="E2" s="30" t="s">
        <v>33</v>
      </c>
      <c r="F2" s="30" t="s">
        <v>34</v>
      </c>
      <c r="G2" s="30"/>
      <c r="H2" s="24"/>
    </row>
    <row r="3">
      <c r="A3" s="34">
        <v>244566.0</v>
      </c>
      <c r="B3" s="89" t="s">
        <v>216</v>
      </c>
      <c r="C3" s="36"/>
      <c r="D3" s="48"/>
      <c r="E3" s="38">
        <v>63.0</v>
      </c>
      <c r="F3" s="36"/>
      <c r="G3" s="36"/>
      <c r="H3" s="36"/>
    </row>
    <row r="4">
      <c r="A4" s="51" t="s">
        <v>48</v>
      </c>
      <c r="B4" s="89" t="s">
        <v>217</v>
      </c>
      <c r="C4" s="36"/>
      <c r="D4" s="48"/>
      <c r="E4" s="38">
        <v>5800.0</v>
      </c>
      <c r="F4" s="36"/>
      <c r="G4" s="36"/>
      <c r="H4" s="36"/>
    </row>
    <row r="5">
      <c r="A5" s="51" t="s">
        <v>150</v>
      </c>
      <c r="B5" s="35" t="s">
        <v>218</v>
      </c>
      <c r="C5" s="36"/>
      <c r="D5" s="48"/>
      <c r="E5" s="38">
        <v>2035.0</v>
      </c>
      <c r="F5" s="36"/>
      <c r="G5" s="48"/>
      <c r="H5" s="36"/>
    </row>
    <row r="6">
      <c r="A6" s="51" t="s">
        <v>80</v>
      </c>
      <c r="B6" s="35" t="s">
        <v>219</v>
      </c>
      <c r="C6" s="42"/>
      <c r="D6" s="36"/>
      <c r="E6" s="38">
        <v>1000.0</v>
      </c>
      <c r="F6" s="36"/>
      <c r="G6" s="36"/>
      <c r="H6" s="36"/>
    </row>
    <row r="7">
      <c r="A7" s="91" t="s">
        <v>199</v>
      </c>
      <c r="B7" s="35" t="s">
        <v>220</v>
      </c>
      <c r="C7" s="36"/>
      <c r="D7" s="36"/>
      <c r="E7" s="38">
        <v>6000.0</v>
      </c>
      <c r="F7" s="48"/>
      <c r="G7" s="42"/>
      <c r="H7" s="36"/>
    </row>
    <row r="8">
      <c r="A8" s="87"/>
      <c r="B8" s="35"/>
      <c r="C8" s="36"/>
      <c r="D8" s="48"/>
      <c r="E8" s="36"/>
      <c r="F8" s="36"/>
      <c r="G8" s="36"/>
      <c r="H8" s="36"/>
    </row>
    <row r="9">
      <c r="A9" s="87"/>
      <c r="B9" s="35"/>
      <c r="C9" s="36"/>
      <c r="D9" s="36"/>
      <c r="E9" s="48"/>
      <c r="F9" s="36"/>
      <c r="G9" s="36"/>
      <c r="H9" s="36"/>
    </row>
    <row r="10">
      <c r="A10" s="75"/>
      <c r="B10" s="35"/>
      <c r="C10" s="36"/>
      <c r="D10" s="36"/>
      <c r="E10" s="48"/>
      <c r="F10" s="36"/>
      <c r="G10" s="48"/>
      <c r="H10" s="48"/>
    </row>
    <row r="11">
      <c r="A11" s="75"/>
      <c r="B11" s="89"/>
      <c r="C11" s="36"/>
      <c r="D11" s="36"/>
      <c r="E11" s="36"/>
      <c r="F11" s="48"/>
      <c r="G11" s="36"/>
      <c r="H11" s="36"/>
    </row>
    <row r="12">
      <c r="A12" s="75"/>
      <c r="B12" s="89"/>
      <c r="C12" s="36"/>
      <c r="D12" s="36"/>
      <c r="E12" s="36"/>
      <c r="F12" s="48"/>
      <c r="G12" s="36"/>
      <c r="H12" s="36"/>
    </row>
    <row r="13">
      <c r="A13" s="75"/>
      <c r="B13" s="35"/>
      <c r="C13" s="36"/>
      <c r="D13" s="48"/>
      <c r="E13" s="36"/>
      <c r="F13" s="36"/>
      <c r="G13" s="36"/>
      <c r="H13" s="36"/>
    </row>
    <row r="14">
      <c r="A14" s="75"/>
      <c r="B14" s="35"/>
      <c r="C14" s="36"/>
      <c r="D14" s="36"/>
      <c r="E14" s="48"/>
      <c r="F14" s="36"/>
      <c r="G14" s="36"/>
      <c r="H14" s="36"/>
    </row>
    <row r="15">
      <c r="A15" s="75"/>
      <c r="B15" s="35"/>
      <c r="C15" s="36"/>
      <c r="D15" s="36"/>
      <c r="E15" s="48"/>
      <c r="F15" s="36"/>
      <c r="G15" s="36"/>
      <c r="H15" s="36"/>
    </row>
    <row r="16">
      <c r="A16" s="75"/>
      <c r="B16" s="35"/>
      <c r="C16" s="36"/>
      <c r="D16" s="48"/>
      <c r="E16" s="36"/>
      <c r="F16" s="36"/>
      <c r="G16" s="36"/>
      <c r="H16" s="36"/>
    </row>
    <row r="17">
      <c r="A17" s="75"/>
      <c r="B17" s="89"/>
      <c r="C17" s="84"/>
      <c r="D17" s="36"/>
      <c r="E17" s="48"/>
      <c r="F17" s="36"/>
      <c r="G17" s="36"/>
      <c r="H17" s="36"/>
    </row>
    <row r="18">
      <c r="A18" s="53"/>
      <c r="B18" s="170"/>
      <c r="C18" s="41"/>
      <c r="D18" s="41"/>
      <c r="E18" s="41"/>
      <c r="F18" s="41"/>
      <c r="G18" s="84"/>
      <c r="H18" s="41"/>
    </row>
    <row r="19">
      <c r="A19" s="53"/>
      <c r="B19" s="89"/>
      <c r="C19" s="41"/>
      <c r="D19" s="41"/>
      <c r="E19" s="84"/>
      <c r="F19" s="41"/>
      <c r="G19" s="41"/>
      <c r="H19" s="41"/>
    </row>
    <row r="20">
      <c r="A20" s="53"/>
      <c r="B20" s="74"/>
      <c r="C20" s="41"/>
      <c r="D20" s="41"/>
      <c r="E20" s="84"/>
      <c r="F20" s="41"/>
      <c r="G20" s="41"/>
      <c r="H20" s="41"/>
    </row>
    <row r="21">
      <c r="A21" s="53"/>
      <c r="B21" s="71"/>
      <c r="C21" s="72"/>
      <c r="D21" s="41"/>
      <c r="E21" s="41"/>
      <c r="F21" s="41"/>
      <c r="G21" s="41"/>
      <c r="H21" s="41"/>
    </row>
    <row r="22">
      <c r="A22" s="90"/>
      <c r="B22" s="42"/>
      <c r="C22" s="36"/>
      <c r="D22" s="36"/>
      <c r="E22" s="48"/>
      <c r="F22" s="36"/>
      <c r="G22" s="36"/>
      <c r="H22" s="36"/>
    </row>
    <row r="23">
      <c r="A23" s="42"/>
      <c r="B23" s="42"/>
      <c r="C23" s="36"/>
      <c r="D23" s="36"/>
      <c r="E23" s="48"/>
      <c r="F23" s="36"/>
      <c r="G23" s="48"/>
      <c r="H23" s="36"/>
    </row>
    <row r="24">
      <c r="A24" s="42"/>
      <c r="B24" s="42"/>
      <c r="C24" s="36"/>
      <c r="D24" s="36"/>
      <c r="E24" s="48"/>
      <c r="F24" s="36"/>
      <c r="G24" s="36"/>
      <c r="H24" s="36"/>
    </row>
    <row r="25">
      <c r="A25" s="90"/>
      <c r="B25" s="42"/>
      <c r="C25" s="36"/>
      <c r="D25" s="36"/>
      <c r="E25" s="48"/>
      <c r="F25" s="36"/>
      <c r="G25" s="36"/>
      <c r="H25" s="36"/>
    </row>
    <row r="26">
      <c r="A26" s="42"/>
      <c r="B26" s="42"/>
      <c r="C26" s="36"/>
      <c r="D26" s="36"/>
      <c r="E26" s="48"/>
      <c r="F26" s="36"/>
      <c r="G26" s="48"/>
      <c r="H26" s="36"/>
    </row>
    <row r="27">
      <c r="A27" s="100" t="s">
        <v>232</v>
      </c>
      <c r="E27" s="101">
        <f>sum(E3:E26)</f>
        <v>14898</v>
      </c>
    </row>
  </sheetData>
  <mergeCells count="4">
    <mergeCell ref="A1:A2"/>
    <mergeCell ref="B1:B2"/>
    <mergeCell ref="C1:D1"/>
    <mergeCell ref="E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6" t="s">
        <v>221</v>
      </c>
      <c r="B1" s="46" t="s">
        <v>222</v>
      </c>
      <c r="C1" s="46"/>
      <c r="D1" s="46" t="s">
        <v>223</v>
      </c>
      <c r="E1" s="46" t="s">
        <v>224</v>
      </c>
      <c r="F1" s="46"/>
      <c r="G1" s="171" t="s">
        <v>225</v>
      </c>
      <c r="I1" s="46"/>
      <c r="J1" s="46" t="s">
        <v>226</v>
      </c>
      <c r="K1" s="46" t="s">
        <v>227</v>
      </c>
    </row>
    <row r="2">
      <c r="A2" s="171" t="s">
        <v>228</v>
      </c>
      <c r="B2" s="46"/>
      <c r="C2" s="46"/>
      <c r="D2" s="46"/>
      <c r="E2" s="46"/>
      <c r="F2" s="46"/>
      <c r="H2" s="46"/>
      <c r="I2" s="46"/>
      <c r="J2" s="46"/>
      <c r="K2" s="46"/>
    </row>
    <row r="3">
      <c r="A3" s="70" t="s">
        <v>229</v>
      </c>
      <c r="B3" s="70" t="s">
        <v>230</v>
      </c>
      <c r="C3" s="70" t="s">
        <v>231</v>
      </c>
      <c r="D3" s="70" t="s">
        <v>26</v>
      </c>
      <c r="E3" s="70" t="s">
        <v>28</v>
      </c>
      <c r="F3" s="46"/>
      <c r="G3" s="70" t="s">
        <v>229</v>
      </c>
      <c r="H3" s="70" t="s">
        <v>230</v>
      </c>
      <c r="I3" s="70" t="s">
        <v>231</v>
      </c>
      <c r="J3" s="70" t="s">
        <v>26</v>
      </c>
      <c r="K3" s="70" t="s">
        <v>28</v>
      </c>
    </row>
    <row r="4">
      <c r="A4" s="70" t="str">
        <f t="shared" ref="A4:A14" si="1">$E$1</f>
        <v>26/11/68</v>
      </c>
      <c r="B4" s="117">
        <v>37.0</v>
      </c>
      <c r="C4" s="172">
        <f>template!F50</f>
        <v>0</v>
      </c>
      <c r="D4" s="173">
        <v>84575.1</v>
      </c>
      <c r="E4" s="173">
        <f>template!$B$41</f>
        <v>0</v>
      </c>
      <c r="F4" s="46"/>
      <c r="G4" s="70" t="str">
        <f t="shared" ref="G4:G14" si="2">$K$1</f>
        <v>31/12/68</v>
      </c>
      <c r="H4" s="117">
        <v>37.0</v>
      </c>
      <c r="I4" s="172">
        <f>template!$F$50</f>
        <v>0</v>
      </c>
      <c r="J4" s="117">
        <f>template!$J$50</f>
        <v>0</v>
      </c>
      <c r="K4" s="173">
        <f>template!$B$41</f>
        <v>0</v>
      </c>
    </row>
    <row r="5">
      <c r="A5" s="70" t="str">
        <f t="shared" si="1"/>
        <v>26/11/68</v>
      </c>
      <c r="B5" s="117">
        <v>39.0</v>
      </c>
      <c r="C5" s="173"/>
      <c r="D5" s="173">
        <v>80765.0</v>
      </c>
      <c r="E5" s="173">
        <f>'39 506 Bonbon'!$B$33</f>
        <v>95205</v>
      </c>
      <c r="F5" s="46"/>
      <c r="G5" s="70" t="str">
        <f t="shared" si="2"/>
        <v>31/12/68</v>
      </c>
      <c r="H5" s="117">
        <v>39.0</v>
      </c>
      <c r="I5" s="173">
        <f>'39 506 Bonbon'!$F$41</f>
        <v>197</v>
      </c>
      <c r="J5" s="173">
        <f>'39 506 Bonbon'!J$41</f>
        <v>126432.9</v>
      </c>
      <c r="K5" s="173">
        <f>'39 506 Bonbon'!$B$33</f>
        <v>95205</v>
      </c>
    </row>
    <row r="6">
      <c r="A6" s="70" t="str">
        <f t="shared" si="1"/>
        <v>26/11/68</v>
      </c>
      <c r="B6" s="117">
        <v>47.0</v>
      </c>
      <c r="C6" s="173"/>
      <c r="D6" s="173">
        <v>59753.0</v>
      </c>
      <c r="E6" s="173">
        <f>'47 507 จันทร์'!$B$34</f>
        <v>124360.05</v>
      </c>
      <c r="F6" s="46"/>
      <c r="G6" s="70" t="str">
        <f t="shared" si="2"/>
        <v>31/12/68</v>
      </c>
      <c r="H6" s="117">
        <v>47.0</v>
      </c>
      <c r="I6" s="173">
        <f>'47 507 จันทร์'!$F$41</f>
        <v>143</v>
      </c>
      <c r="J6" s="173">
        <f>'47 507 จันทร์'!$J$42</f>
        <v>147539.7</v>
      </c>
      <c r="K6" s="173">
        <f>'47 507 จันทร์'!$B$34</f>
        <v>124360.05</v>
      </c>
    </row>
    <row r="7">
      <c r="A7" s="70" t="str">
        <f t="shared" si="1"/>
        <v>26/11/68</v>
      </c>
      <c r="B7" s="117">
        <v>48.0</v>
      </c>
      <c r="C7" s="173"/>
      <c r="D7" s="173">
        <v>24144.1</v>
      </c>
      <c r="E7" s="173">
        <f>'48 508 นิค'!$B$34</f>
        <v>72751.45</v>
      </c>
      <c r="F7" s="46"/>
      <c r="G7" s="70" t="str">
        <f t="shared" si="2"/>
        <v>31/12/68</v>
      </c>
      <c r="H7" s="117">
        <v>48.0</v>
      </c>
      <c r="I7" s="173">
        <f>'48 508 นิค'!$F$42</f>
        <v>150</v>
      </c>
      <c r="J7" s="173">
        <f>'48 508 นิค'!$J$42</f>
        <v>95881.5</v>
      </c>
      <c r="K7" s="173">
        <f>'48 508 นิค'!$B$34</f>
        <v>72751.45</v>
      </c>
    </row>
    <row r="8">
      <c r="A8" s="70" t="str">
        <f t="shared" si="1"/>
        <v>26/11/68</v>
      </c>
      <c r="B8" s="117">
        <v>501.0</v>
      </c>
      <c r="C8" s="173"/>
      <c r="D8" s="173"/>
      <c r="E8" s="173">
        <f>'501 เต่า'!$B$33</f>
        <v>104325</v>
      </c>
      <c r="F8" s="46"/>
      <c r="G8" s="70" t="str">
        <f t="shared" si="2"/>
        <v>31/12/68</v>
      </c>
      <c r="H8" s="117">
        <v>501.0</v>
      </c>
      <c r="I8" s="173">
        <f>'501 เต่า'!$F$41</f>
        <v>212</v>
      </c>
      <c r="J8" s="173">
        <f>'501 เต่า'!$J$41</f>
        <v>135342.9</v>
      </c>
      <c r="K8" s="173">
        <f>'501 เต่า'!$B$33</f>
        <v>104325</v>
      </c>
    </row>
    <row r="9">
      <c r="A9" s="70" t="str">
        <f t="shared" si="1"/>
        <v>26/11/68</v>
      </c>
      <c r="B9" s="70">
        <v>502.0</v>
      </c>
      <c r="C9" s="70"/>
      <c r="D9" s="173"/>
      <c r="E9" s="68">
        <f>'502 ป๋า'!$B$34</f>
        <v>113005.4</v>
      </c>
      <c r="F9" s="46"/>
      <c r="G9" s="70" t="str">
        <f t="shared" si="2"/>
        <v>31/12/68</v>
      </c>
      <c r="H9" s="70">
        <v>502.0</v>
      </c>
      <c r="I9" s="174">
        <f>'502 ป๋า'!$F$42</f>
        <v>261</v>
      </c>
      <c r="J9" s="173">
        <f>'502 ป๋า'!$J$42</f>
        <v>166943.7</v>
      </c>
      <c r="K9" s="68">
        <f>'502 ป๋า'!$B$34</f>
        <v>113005.4</v>
      </c>
    </row>
    <row r="10">
      <c r="A10" s="70" t="str">
        <f t="shared" si="1"/>
        <v>26/11/68</v>
      </c>
      <c r="B10" s="70">
        <v>503.0</v>
      </c>
      <c r="C10" s="173"/>
      <c r="D10" s="173"/>
      <c r="E10" s="173">
        <f>'503 ฟัก'!$B$37</f>
        <v>86215</v>
      </c>
      <c r="F10" s="46"/>
      <c r="G10" s="70" t="str">
        <f t="shared" si="2"/>
        <v>31/12/68</v>
      </c>
      <c r="H10" s="70">
        <v>503.0</v>
      </c>
      <c r="I10" s="173">
        <f>'503 ฟัก'!$F$45</f>
        <v>142</v>
      </c>
      <c r="J10" s="173">
        <f>'503 ฟัก'!$J$45</f>
        <v>90248.4</v>
      </c>
      <c r="K10" s="173">
        <f>'503 ฟัก'!$B$37</f>
        <v>86215</v>
      </c>
    </row>
    <row r="11">
      <c r="A11" s="70" t="str">
        <f t="shared" si="1"/>
        <v>26/11/68</v>
      </c>
      <c r="B11" s="117">
        <v>504.0</v>
      </c>
      <c r="C11" s="173"/>
      <c r="D11" s="173"/>
      <c r="E11" s="173">
        <f>'504 ประจบ'!$B$37</f>
        <v>66346</v>
      </c>
      <c r="F11" s="46"/>
      <c r="G11" s="70" t="str">
        <f t="shared" si="2"/>
        <v>31/12/68</v>
      </c>
      <c r="H11" s="117">
        <v>504.0</v>
      </c>
      <c r="I11" s="173">
        <f>'504 ประจบ'!$F$45</f>
        <v>77</v>
      </c>
      <c r="J11" s="173">
        <f>'504 ประจบ'!$J$45</f>
        <v>48915.9</v>
      </c>
      <c r="K11" s="173">
        <f>'504 ประจบ'!$B$37</f>
        <v>66346</v>
      </c>
    </row>
    <row r="12">
      <c r="A12" s="70" t="str">
        <f t="shared" si="1"/>
        <v>26/11/68</v>
      </c>
      <c r="B12" s="117">
        <v>505.0</v>
      </c>
      <c r="C12" s="173"/>
      <c r="D12" s="173"/>
      <c r="E12" s="173">
        <f>'505 เสริม เอ็ม บุญมี'!$B$37</f>
        <v>126858.5</v>
      </c>
      <c r="F12" s="46"/>
      <c r="G12" s="70" t="str">
        <f t="shared" si="2"/>
        <v>31/12/68</v>
      </c>
      <c r="H12" s="117">
        <v>505.0</v>
      </c>
      <c r="I12" s="173">
        <f>'505 เสริม เอ็ม บุญมี'!$F$45</f>
        <v>227</v>
      </c>
      <c r="J12" s="173">
        <f>'505 เสริม เอ็ม บุญมี'!$J$45</f>
        <v>144252.9</v>
      </c>
      <c r="K12" s="173">
        <f>'505 เสริม เอ็ม บุญมี'!$B$37</f>
        <v>126858.5</v>
      </c>
    </row>
    <row r="13">
      <c r="A13" s="70" t="str">
        <f t="shared" si="1"/>
        <v>26/11/68</v>
      </c>
      <c r="B13" s="117"/>
      <c r="C13" s="173"/>
      <c r="D13" s="173"/>
      <c r="E13" s="173"/>
      <c r="F13" s="46"/>
      <c r="G13" s="70" t="str">
        <f t="shared" si="2"/>
        <v>31/12/68</v>
      </c>
      <c r="H13" s="117"/>
      <c r="I13" s="173"/>
      <c r="J13" s="173"/>
      <c r="K13" s="173"/>
    </row>
    <row r="14">
      <c r="A14" s="70" t="str">
        <f t="shared" si="1"/>
        <v>26/11/68</v>
      </c>
      <c r="B14" s="117" t="s">
        <v>40</v>
      </c>
      <c r="C14" s="173"/>
      <c r="D14" s="173"/>
      <c r="E14" s="173">
        <f>'รายจ่ายอื่นๆ'!$E$27</f>
        <v>14898</v>
      </c>
      <c r="F14" s="46"/>
      <c r="G14" s="70" t="str">
        <f t="shared" si="2"/>
        <v>31/12/68</v>
      </c>
      <c r="H14" s="117" t="s">
        <v>40</v>
      </c>
      <c r="I14" s="173"/>
      <c r="J14" s="173"/>
      <c r="K14" s="173">
        <f>'รายจ่ายอื่นๆ'!$E$27</f>
        <v>14898</v>
      </c>
    </row>
    <row r="15">
      <c r="A15" s="70" t="s">
        <v>232</v>
      </c>
      <c r="B15" s="70"/>
      <c r="C15" s="173"/>
      <c r="D15" s="173">
        <f>SUM(D4:D10)</f>
        <v>249237.2</v>
      </c>
      <c r="E15" s="173">
        <f>SUM(E4:E9)</f>
        <v>509646.9</v>
      </c>
      <c r="F15" s="46"/>
      <c r="G15" s="70" t="s">
        <v>232</v>
      </c>
      <c r="H15" s="70"/>
      <c r="I15" s="173"/>
      <c r="J15" s="173">
        <f>SUM(J4:J10)</f>
        <v>762389.1</v>
      </c>
      <c r="K15" s="173">
        <f>SUM(K4:K14)</f>
        <v>803964.4</v>
      </c>
    </row>
    <row r="16">
      <c r="A16" s="70" t="s">
        <v>233</v>
      </c>
      <c r="B16" s="68"/>
      <c r="C16" s="175"/>
      <c r="D16" s="175">
        <f>D15-E15</f>
        <v>-260409.7</v>
      </c>
      <c r="E16" s="70"/>
      <c r="F16" s="46"/>
      <c r="G16" s="70" t="s">
        <v>233</v>
      </c>
      <c r="H16" s="68"/>
      <c r="I16" s="176">
        <f>Sum(I4:I10)</f>
        <v>1105</v>
      </c>
      <c r="J16" s="175">
        <f>J15-K15</f>
        <v>-41575.3</v>
      </c>
      <c r="K16" s="70"/>
    </row>
  </sheetData>
  <conditionalFormatting sqref="D16 J16">
    <cfRule type="cellIs" dxfId="2" priority="1" operator="greaterThan">
      <formula>0</formula>
    </cfRule>
  </conditionalFormatting>
  <conditionalFormatting sqref="D16 J16">
    <cfRule type="cellIs" dxfId="3" priority="2" operator="lessThanOrEqual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8.88"/>
    <col customWidth="1" min="5" max="5" width="16.0"/>
    <col customWidth="1" min="6" max="6" width="17.63"/>
    <col customWidth="1" min="7" max="7" width="18.63"/>
    <col customWidth="1" min="8" max="8" width="17.88"/>
    <col customWidth="1" min="10" max="10" width="25.25"/>
    <col customWidth="1" min="11" max="11" width="16.0"/>
    <col customWidth="1" min="13" max="13" width="22.0"/>
    <col hidden="1" min="14" max="14" width="12.63"/>
    <col customWidth="1" hidden="1" min="15" max="15" width="17.13"/>
  </cols>
  <sheetData>
    <row r="2">
      <c r="A2" s="46" t="s">
        <v>230</v>
      </c>
      <c r="B2" s="100" t="s">
        <v>234</v>
      </c>
      <c r="C2" s="100" t="s">
        <v>235</v>
      </c>
      <c r="D2" s="100" t="s">
        <v>236</v>
      </c>
      <c r="E2" s="100" t="s">
        <v>237</v>
      </c>
      <c r="F2" s="100" t="s">
        <v>238</v>
      </c>
      <c r="G2" s="100" t="s">
        <v>239</v>
      </c>
      <c r="H2" s="100" t="s">
        <v>240</v>
      </c>
      <c r="I2" s="100" t="s">
        <v>241</v>
      </c>
      <c r="J2" s="100" t="s">
        <v>236</v>
      </c>
      <c r="K2" s="100" t="s">
        <v>237</v>
      </c>
      <c r="L2" s="100" t="s">
        <v>238</v>
      </c>
      <c r="M2" s="100" t="s">
        <v>239</v>
      </c>
      <c r="N2" s="100" t="s">
        <v>240</v>
      </c>
      <c r="O2" s="100" t="s">
        <v>242</v>
      </c>
      <c r="P2" s="100" t="s">
        <v>243</v>
      </c>
      <c r="Q2" s="100" t="s">
        <v>244</v>
      </c>
      <c r="R2" s="100" t="s">
        <v>245</v>
      </c>
      <c r="S2" s="100" t="s">
        <v>246</v>
      </c>
    </row>
    <row r="3">
      <c r="A3" s="151">
        <v>37.0</v>
      </c>
      <c r="B3" s="100"/>
      <c r="C3" s="100" t="s">
        <v>247</v>
      </c>
      <c r="D3" s="100" t="s">
        <v>248</v>
      </c>
      <c r="E3" s="177" t="s">
        <v>249</v>
      </c>
      <c r="F3" s="100"/>
      <c r="G3" s="100"/>
      <c r="H3" s="100"/>
      <c r="I3" s="100" t="s">
        <v>250</v>
      </c>
      <c r="J3" s="100" t="s">
        <v>251</v>
      </c>
      <c r="K3" s="178" t="s">
        <v>249</v>
      </c>
      <c r="L3" s="100"/>
      <c r="M3" s="100"/>
      <c r="N3" s="100"/>
      <c r="O3" s="100" t="s">
        <v>249</v>
      </c>
      <c r="P3" s="100" t="s">
        <v>252</v>
      </c>
      <c r="Q3" s="179">
        <v>25513.0</v>
      </c>
    </row>
    <row r="4">
      <c r="A4" s="180">
        <v>506.0</v>
      </c>
      <c r="B4" s="100"/>
      <c r="C4" s="100" t="s">
        <v>253</v>
      </c>
      <c r="D4" s="100" t="s">
        <v>254</v>
      </c>
      <c r="E4" s="181" t="s">
        <v>255</v>
      </c>
      <c r="F4" s="181" t="s">
        <v>256</v>
      </c>
      <c r="G4" s="100"/>
      <c r="H4" s="100"/>
      <c r="I4" s="100" t="s">
        <v>257</v>
      </c>
      <c r="J4" s="100" t="s">
        <v>258</v>
      </c>
      <c r="K4" s="181" t="s">
        <v>255</v>
      </c>
      <c r="L4" s="181" t="s">
        <v>256</v>
      </c>
      <c r="M4" s="100"/>
      <c r="N4" s="100"/>
      <c r="O4" s="100" t="s">
        <v>259</v>
      </c>
      <c r="P4" s="100" t="s">
        <v>252</v>
      </c>
      <c r="Q4" s="182" t="s">
        <v>260</v>
      </c>
      <c r="R4" s="183">
        <v>244624.0</v>
      </c>
    </row>
    <row r="5">
      <c r="A5" s="180">
        <v>507.0</v>
      </c>
      <c r="C5" s="100" t="s">
        <v>261</v>
      </c>
      <c r="D5" s="100" t="s">
        <v>262</v>
      </c>
      <c r="E5" s="100" t="s">
        <v>263</v>
      </c>
      <c r="F5" s="100" t="s">
        <v>264</v>
      </c>
      <c r="G5" s="100"/>
      <c r="H5" s="100"/>
      <c r="I5" s="100" t="s">
        <v>265</v>
      </c>
      <c r="J5" s="100" t="s">
        <v>266</v>
      </c>
      <c r="K5" s="100" t="s">
        <v>263</v>
      </c>
      <c r="L5" s="100" t="s">
        <v>264</v>
      </c>
      <c r="M5" s="100"/>
      <c r="N5" s="100"/>
      <c r="O5" s="100" t="s">
        <v>227</v>
      </c>
      <c r="P5" s="100" t="s">
        <v>252</v>
      </c>
      <c r="Q5" s="182" t="s">
        <v>267</v>
      </c>
      <c r="R5" s="183">
        <v>244625.0</v>
      </c>
      <c r="S5" s="183">
        <v>244625.0</v>
      </c>
    </row>
    <row r="6">
      <c r="A6" s="126">
        <v>508.0</v>
      </c>
      <c r="C6" s="100" t="s">
        <v>268</v>
      </c>
      <c r="D6" s="100" t="s">
        <v>269</v>
      </c>
      <c r="E6" s="181" t="s">
        <v>255</v>
      </c>
      <c r="F6" s="181" t="s">
        <v>256</v>
      </c>
      <c r="G6" s="100"/>
      <c r="H6" s="100"/>
      <c r="I6" s="100" t="s">
        <v>270</v>
      </c>
      <c r="J6" s="100"/>
      <c r="K6" s="100" t="s">
        <v>263</v>
      </c>
      <c r="L6" s="100" t="s">
        <v>264</v>
      </c>
      <c r="M6" s="100"/>
      <c r="N6" s="100"/>
      <c r="O6" s="100" t="s">
        <v>271</v>
      </c>
      <c r="P6" s="100" t="s">
        <v>252</v>
      </c>
      <c r="Q6" s="182" t="s">
        <v>272</v>
      </c>
      <c r="R6" s="184">
        <v>244563.0</v>
      </c>
    </row>
    <row r="7">
      <c r="A7" s="100">
        <v>501.0</v>
      </c>
      <c r="C7" s="100" t="s">
        <v>273</v>
      </c>
      <c r="D7" s="100" t="s">
        <v>274</v>
      </c>
      <c r="E7" s="185" t="s">
        <v>275</v>
      </c>
      <c r="F7" s="178" t="s">
        <v>276</v>
      </c>
      <c r="G7" s="178" t="s">
        <v>277</v>
      </c>
      <c r="H7" s="100"/>
      <c r="I7" s="100" t="s">
        <v>278</v>
      </c>
      <c r="J7" s="100" t="s">
        <v>279</v>
      </c>
      <c r="K7" s="186" t="s">
        <v>275</v>
      </c>
      <c r="L7" s="100"/>
      <c r="M7" s="100"/>
      <c r="N7" s="100"/>
      <c r="O7" s="100" t="s">
        <v>275</v>
      </c>
      <c r="P7" s="100" t="s">
        <v>280</v>
      </c>
      <c r="Q7" s="100" t="s">
        <v>275</v>
      </c>
      <c r="R7" s="184">
        <v>244258.0</v>
      </c>
    </row>
    <row r="8">
      <c r="A8" s="100">
        <v>502.0</v>
      </c>
      <c r="C8" s="100" t="s">
        <v>281</v>
      </c>
      <c r="D8" s="100" t="s">
        <v>282</v>
      </c>
      <c r="E8" s="185" t="s">
        <v>275</v>
      </c>
      <c r="F8" s="187" t="s">
        <v>283</v>
      </c>
      <c r="G8" s="178" t="s">
        <v>284</v>
      </c>
      <c r="H8" s="100" t="s">
        <v>285</v>
      </c>
      <c r="I8" s="100" t="s">
        <v>286</v>
      </c>
      <c r="J8" s="100" t="s">
        <v>287</v>
      </c>
      <c r="K8" s="188" t="s">
        <v>249</v>
      </c>
      <c r="L8" s="100"/>
      <c r="M8" s="100"/>
      <c r="N8" s="100"/>
      <c r="O8" s="100" t="s">
        <v>288</v>
      </c>
      <c r="P8" s="100" t="s">
        <v>289</v>
      </c>
      <c r="Q8" s="100" t="s">
        <v>290</v>
      </c>
      <c r="R8" s="152" t="s">
        <v>291</v>
      </c>
    </row>
    <row r="9">
      <c r="A9" s="100">
        <v>503.0</v>
      </c>
      <c r="C9" s="100" t="s">
        <v>292</v>
      </c>
      <c r="D9" s="100" t="s">
        <v>293</v>
      </c>
      <c r="E9" s="185" t="s">
        <v>275</v>
      </c>
      <c r="F9" s="100"/>
      <c r="G9" s="178" t="s">
        <v>294</v>
      </c>
      <c r="H9" s="100" t="s">
        <v>285</v>
      </c>
      <c r="I9" s="100" t="s">
        <v>295</v>
      </c>
      <c r="J9" s="100" t="s">
        <v>296</v>
      </c>
      <c r="K9" s="100" t="s">
        <v>263</v>
      </c>
      <c r="L9" s="100" t="s">
        <v>264</v>
      </c>
      <c r="M9" s="100"/>
      <c r="N9" s="100"/>
      <c r="O9" s="100" t="s">
        <v>297</v>
      </c>
      <c r="P9" s="100" t="s">
        <v>252</v>
      </c>
      <c r="Q9" s="100" t="s">
        <v>298</v>
      </c>
    </row>
    <row r="10">
      <c r="A10" s="100">
        <v>504.0</v>
      </c>
      <c r="C10" s="100" t="s">
        <v>299</v>
      </c>
      <c r="D10" s="100" t="s">
        <v>300</v>
      </c>
      <c r="E10" s="178" t="s">
        <v>249</v>
      </c>
      <c r="F10" s="183">
        <v>244419.0</v>
      </c>
      <c r="G10" s="178" t="s">
        <v>277</v>
      </c>
      <c r="H10" s="178" t="s">
        <v>301</v>
      </c>
      <c r="I10" s="100" t="s">
        <v>302</v>
      </c>
      <c r="J10" s="100" t="s">
        <v>303</v>
      </c>
      <c r="K10" s="178" t="s">
        <v>249</v>
      </c>
      <c r="L10" s="183"/>
      <c r="M10" s="178" t="s">
        <v>277</v>
      </c>
      <c r="N10" s="100" t="s">
        <v>304</v>
      </c>
      <c r="P10" s="100" t="s">
        <v>289</v>
      </c>
      <c r="Q10" s="189">
        <v>244419.0</v>
      </c>
    </row>
    <row r="11">
      <c r="A11" s="100">
        <v>505.0</v>
      </c>
      <c r="C11" s="100" t="s">
        <v>305</v>
      </c>
      <c r="D11" s="100" t="s">
        <v>306</v>
      </c>
      <c r="E11" s="190" t="s">
        <v>249</v>
      </c>
      <c r="F11" s="183">
        <v>244419.0</v>
      </c>
      <c r="G11" s="178" t="s">
        <v>277</v>
      </c>
      <c r="H11" s="178" t="s">
        <v>307</v>
      </c>
      <c r="I11" s="100" t="s">
        <v>308</v>
      </c>
      <c r="J11" s="100" t="s">
        <v>309</v>
      </c>
      <c r="K11" s="191" t="s">
        <v>249</v>
      </c>
      <c r="L11" s="183">
        <v>244419.0</v>
      </c>
      <c r="M11" s="178" t="s">
        <v>277</v>
      </c>
      <c r="N11" s="100" t="s">
        <v>310</v>
      </c>
      <c r="P11" s="100" t="s">
        <v>311</v>
      </c>
      <c r="Q11" s="189">
        <v>244419.0</v>
      </c>
      <c r="R11" s="100" t="s">
        <v>312</v>
      </c>
    </row>
    <row r="12">
      <c r="Q12" s="189"/>
    </row>
    <row r="18">
      <c r="D18" s="100" t="s">
        <v>313</v>
      </c>
      <c r="E18" s="100" t="s">
        <v>237</v>
      </c>
    </row>
    <row r="19">
      <c r="B19" s="100"/>
      <c r="C19" s="100"/>
      <c r="D19" s="100"/>
      <c r="E19" s="185"/>
      <c r="F19" s="100"/>
    </row>
    <row r="20">
      <c r="B20" s="100"/>
      <c r="C20" s="100"/>
      <c r="D20" s="100"/>
      <c r="E20" s="185"/>
      <c r="F20" s="100"/>
      <c r="I20" s="100"/>
      <c r="J20" s="100"/>
      <c r="K20" s="100"/>
      <c r="L20" s="100"/>
    </row>
    <row r="21">
      <c r="B21" s="100"/>
      <c r="C21" s="100"/>
      <c r="D21" s="100"/>
      <c r="E21" s="185"/>
      <c r="F21" s="100"/>
    </row>
    <row r="22">
      <c r="D22" s="192"/>
      <c r="E22" s="193"/>
      <c r="F22" s="100"/>
    </row>
    <row r="23">
      <c r="D23" s="100"/>
    </row>
    <row r="25">
      <c r="D25" s="100" t="s">
        <v>314</v>
      </c>
    </row>
    <row r="26">
      <c r="C26" s="100">
        <v>501.0</v>
      </c>
      <c r="D26" s="100" t="s">
        <v>273</v>
      </c>
      <c r="E26" s="185" t="s">
        <v>275</v>
      </c>
    </row>
    <row r="27">
      <c r="C27" s="100">
        <v>502.0</v>
      </c>
      <c r="D27" s="100" t="s">
        <v>281</v>
      </c>
      <c r="E27" s="185" t="s">
        <v>275</v>
      </c>
    </row>
    <row r="28">
      <c r="C28" s="100">
        <v>503.0</v>
      </c>
      <c r="D28" s="100" t="s">
        <v>292</v>
      </c>
      <c r="E28" s="185" t="s">
        <v>275</v>
      </c>
    </row>
    <row r="29">
      <c r="C29" s="152" t="s">
        <v>315</v>
      </c>
      <c r="D29" s="192" t="s">
        <v>278</v>
      </c>
      <c r="E29" s="193" t="s">
        <v>275</v>
      </c>
    </row>
    <row r="30">
      <c r="D30" s="100"/>
    </row>
    <row r="32">
      <c r="D32" s="152" t="s">
        <v>316</v>
      </c>
    </row>
    <row r="33">
      <c r="C33" s="180">
        <v>506.0</v>
      </c>
      <c r="D33" s="100" t="s">
        <v>253</v>
      </c>
      <c r="E33" s="100" t="s">
        <v>252</v>
      </c>
      <c r="F33" s="182" t="s">
        <v>260</v>
      </c>
    </row>
    <row r="34">
      <c r="C34" s="126">
        <v>508.0</v>
      </c>
      <c r="D34" s="100" t="s">
        <v>268</v>
      </c>
      <c r="E34" s="100" t="s">
        <v>252</v>
      </c>
      <c r="F34" s="182" t="s">
        <v>272</v>
      </c>
    </row>
    <row r="35">
      <c r="C35" s="100">
        <v>501.0</v>
      </c>
      <c r="D35" s="100" t="s">
        <v>273</v>
      </c>
      <c r="E35" s="100" t="s">
        <v>280</v>
      </c>
      <c r="F35" s="100" t="s">
        <v>275</v>
      </c>
    </row>
    <row r="36">
      <c r="C36" s="180">
        <v>507.0</v>
      </c>
      <c r="D36" s="100" t="s">
        <v>261</v>
      </c>
      <c r="E36" s="100" t="s">
        <v>252</v>
      </c>
      <c r="F36" s="182" t="s">
        <v>267</v>
      </c>
    </row>
  </sheetData>
  <conditionalFormatting sqref="E3 E7:E9 E11 E19:E21 E26:E28">
    <cfRule type="notContainsBlanks" dxfId="0" priority="1">
      <formula>LEN(TRIM(E3))&gt;0</formula>
    </cfRule>
  </conditionalFormatting>
  <drawing r:id="rId1"/>
</worksheet>
</file>